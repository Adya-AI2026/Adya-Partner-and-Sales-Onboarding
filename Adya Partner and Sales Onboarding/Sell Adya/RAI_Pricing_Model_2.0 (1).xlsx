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Pricing" sheetId="2" r:id="rId5"/>
    <sheet state="visible" name="Segments" sheetId="3" r:id="rId6"/>
    <sheet state="visible" name="Benchmark" sheetId="4" r:id="rId7"/>
    <sheet state="visible" name="Credits" sheetId="5" r:id="rId8"/>
    <sheet state="visible" name="Integrations" sheetId="6" r:id="rId9"/>
    <sheet state="visible" name="Accelerators" sheetId="7" r:id="rId10"/>
    <sheet state="visible" name="Services" sheetId="8" r:id="rId11"/>
    <sheet state="visible" name="QuoteBuilder" sheetId="9" r:id="rId12"/>
  </sheets>
  <definedNames/>
  <calcPr/>
  <extLst>
    <ext uri="GoogleSheetsCustomDataVersion2">
      <go:sheetsCustomData xmlns:go="http://customooxmlschemas.google.com/" r:id="rId13" roundtripDataChecksum="GS6LZGmSbD7e6EGXRzS6UjGC9hvM1LwWtyUGe9YaKQE="/>
    </ext>
  </extLst>
</workbook>
</file>

<file path=xl/sharedStrings.xml><?xml version="1.0" encoding="utf-8"?>
<sst xmlns="http://schemas.openxmlformats.org/spreadsheetml/2006/main" count="550" uniqueCount="481">
  <si>
    <t>Adya RAI  |  Pricing Model 2.0</t>
  </si>
  <si>
    <t>RAI Segments  |  who each tier is for and why the price holds</t>
  </si>
  <si>
    <t>RAI Pricing  |  five tiers, three meters</t>
  </si>
  <si>
    <t>RAI is the Revenue AI: one agent that runs the whole go-to-market motion. This workbook prices it three ways at once, subscription, usage credits and integrations, so a startup can start cheaply and an enterprise still pays for the scale it uses. Every blue number is an input you can edit. Black numbers are formulas.</t>
  </si>
  <si>
    <t>Global list price in USD and the India rupee equivalent for self-serve tiers. Enterprise is partner-led and quoted in USD. Inclusions show what each tier gives you before usage and add-ons.</t>
  </si>
  <si>
    <t>The locked RAI ICP mapped to tiers, what they pay today for the stack RAI replaces, and the willingness-to-pay logic. India first, US second. Large accounts are partner-led.</t>
  </si>
  <si>
    <t>The three meters</t>
  </si>
  <si>
    <t>Tier</t>
  </si>
  <si>
    <t>RAI is priced on three dials, exactly as the product works. Subscription sets the tier and what it includes. Credits meter the work RAI actually does, every email, message, call, lead, signal, asset and report. Integrations cover the thirty-plus tools RAI plugs into and the channel infrastructure (mailboxes, LinkedIn accounts, WhatsApp and voice numbers) that carries the work.</t>
  </si>
  <si>
    <t>Who (ICP + buyer persona)</t>
  </si>
  <si>
    <t>Pays today for the stack</t>
  </si>
  <si>
    <t>Willingness to pay / logic</t>
  </si>
  <si>
    <t>The five-layer stack</t>
  </si>
  <si>
    <t>Monthly $</t>
  </si>
  <si>
    <t>Free / Startup</t>
  </si>
  <si>
    <t>Under the hood every RAI deal is built from five layers: (1) a Platform subscription by tier, (2) Seats, kept cheap because RAI is capacity you configure not headcount you recruit, (3) RAI Credits for usage, (4) Integrations and channel infrastructure, and (5) Onboarding and services. A service-level dial (self-serve, assisted, fully-managed) and a commitment discount sit on top.</t>
  </si>
  <si>
    <t>India ₹/mo</t>
  </si>
  <si>
    <t>Why it scales both ways</t>
  </si>
  <si>
    <t>Op seats</t>
  </si>
  <si>
    <t>A solo founder can start free or at $99 and run one channel. An agency or a VC firm running GTM across many portfolio brands scales through brand workspaces, credits and channels into six or seven figures without changing the model. The account grows on the same dials.</t>
  </si>
  <si>
    <t>Rep seats</t>
  </si>
  <si>
    <t>Solo and unfunded founders; independent operators; tiny startups that cannot hire a salesperson. User and decision maker are the same person.</t>
  </si>
  <si>
    <t>Credits/mo</t>
  </si>
  <si>
    <t>RAI Benchmark  |  what the market charges, and for how much of the job</t>
  </si>
  <si>
    <t>Integ. slots</t>
  </si>
  <si>
    <t>Tab</t>
  </si>
  <si>
    <t>Mailboxes</t>
  </si>
  <si>
    <t>A patchwork of free trials and one cheap sequencer ($30-60/mo), plus their own time as the orchestrator.</t>
  </si>
  <si>
    <t>What it holds</t>
  </si>
  <si>
    <t>LinkedIn</t>
  </si>
  <si>
    <t>Near-zero friction to enter. The job is to get them running and to prove pipeline, not to make margin. Convert to Growth once volume and value show.</t>
  </si>
  <si>
    <t>Workspaces</t>
  </si>
  <si>
    <t>For whom / what is on</t>
  </si>
  <si>
    <t>Growth</t>
  </si>
  <si>
    <t>Pricing</t>
  </si>
  <si>
    <t>Accessed 21 Sep 2026. Every competitor does a slice of what RAI does. The last two rows show the cost of the stack RAI replaces and where RAI sits. Figures are list or widely-reported; sources in the last column.</t>
  </si>
  <si>
    <t>Free</t>
  </si>
  <si>
    <t>SMBs and small GTM teams; funded early startups that must scale outbound fast; solopreneurs and marketing agencies starting out.</t>
  </si>
  <si>
    <t>List pricing for the five tiers: Free, Startup, Growth, Scale, Enterprise. Global ($) and India (₹), with what each tier includes on all three meters.</t>
  </si>
  <si>
    <t>Segments</t>
  </si>
  <si>
    <t>Who each tier is for (the locked RAI ICP and buyer personas), what they pay today for the tool stack, and willingness to pay. This justifies the numbers.</t>
  </si>
  <si>
    <t>Benchmark</t>
  </si>
  <si>
    <t>How RAI pricing compares to HubSpot, Salesforce Agentforce, Clari, 11x, Artisan, AiSDR, Apollo and Clay. Sourced and dated. Includes the cost of the stack RAI replaces.</t>
  </si>
  <si>
    <t>Credits</t>
  </si>
  <si>
    <t>Competitor</t>
  </si>
  <si>
    <t>What one RAI Credit is and how each action, email, LinkedIn, WhatsApp, voice, lead, signal, content, research, BI, draws it down. The elastic usage meter.</t>
  </si>
  <si>
    <t>Apollo or similar ($49-79/seat) + a sequencer + a data tool + content tools, roughly $500-1,500/mo in tools plus a part-time SDR.</t>
  </si>
  <si>
    <t>$499/mo undercuts a single AI-SDR seat (AiSDR $250-900, Artisan $600) while doing far more than outbound. Priced to be an obvious yes for a team of two to ten.</t>
  </si>
  <si>
    <t>Integrations</t>
  </si>
  <si>
    <t>Pricing model</t>
  </si>
  <si>
    <t>Scale</t>
  </si>
  <si>
    <t>The thirty-plus integration catalogue and the channel-infrastructure units (mailboxes, LinkedIn accounts, WhatsApp, voice, brand workspaces), plus the pass-through policy for third-party data, messaging and ad spend.</t>
  </si>
  <si>
    <t>Typical cost</t>
  </si>
  <si>
    <t>Mid-market with an existing sales team that lacks rep-performance visibility (even ~200 reps); agencies running GTM for several clients; VC firms running GTM across a few portfolio brands.</t>
  </si>
  <si>
    <t>Covers (of RAI's ten layers)</t>
  </si>
  <si>
    <t>Accelerators</t>
  </si>
  <si>
    <t>A real stack: Apollo + Clay + Outreach/Salesloft + HubSpot + an AI SDR + content + BI, $4,000-8,000/mo in tools, plus SDR headcount and a RevOps orchestrator.</t>
  </si>
  <si>
    <t>Source</t>
  </si>
  <si>
    <t>The single source of truth for every live rate and assumption QuoteBuilder uses: per-unit rates, deployment, service level, commitment discount, FX.</t>
  </si>
  <si>
    <t>$1,999/mo base lands most Scale accounts at $30k-80k/yr once channels, credits and workspaces are added, well under the replaced stack, and it removes the headcount and the human glue.</t>
  </si>
  <si>
    <t>Services</t>
  </si>
  <si>
    <t>The one-time-plus-recurring rate card for onboarding, brand-voice training, infrastructure setup, custom integrations and workflows, CRM/BI migration, voice-agent build, white-label, and the self-improving copy model.</t>
  </si>
  <si>
    <t>Enterprise</t>
  </si>
  <si>
    <t>HubSpot (Marketing/Sales Hub + Breeze / Agent Hub)</t>
  </si>
  <si>
    <t>QuoteBuilder</t>
  </si>
  <si>
    <t>Larger agencies and VC portfolios (many brands), and 200-rep orgs wanting visibility plus execution. Partner-led because Adya has no direct enterprise sales muscle.</t>
  </si>
  <si>
    <t>A live calculator. Pick a tier, service level, deployment, commitment, then set seats, credits, channels, integrations and services. Returns one-time cost, annual recurring, and Year-1 total. Prefilled with a worked agency example.</t>
  </si>
  <si>
    <t>$50k-360k/yr on Clari-class RevOps + 11x-class AI SDRs + a full martech stack + the RevOps team.</t>
  </si>
  <si>
    <t>From ~$102k/yr floor, building to $250k-$1M+ through brand workspaces, credit pools and managed service. Still cheaper than the sum of the tools it replaces, and it is one brain, not a stack that leaks.</t>
  </si>
  <si>
    <t>Colour legend</t>
  </si>
  <si>
    <t>Anti-target</t>
  </si>
  <si>
    <t>Per-seat tiers x hubs + HubSpot Credits ($10/1,000) + outcome agents</t>
  </si>
  <si>
    <t>Pro seat ~$90-100/mo; agents $0.50/resolved convo, $1/recommended lead; Year-1 ~$31,800 for a 50-person team; onboarding $1,500-7,000</t>
  </si>
  <si>
    <t>CRM, content, some prospecting and service. Not the full autonomous motion.</t>
  </si>
  <si>
    <t>Pure D2C/B2C companies whose only RAI use would be ads (RAI is not strong at ads yet). Large accounts are never direct: partner-led only, because the constraint is Adya's sales capacity, not product fit.</t>
  </si>
  <si>
    <t>getmacha, martechspace, usagepricing, vantagepoint (2026)</t>
  </si>
  <si>
    <t>Blue text</t>
  </si>
  <si>
    <t>Salesforce Agentforce</t>
  </si>
  <si>
    <t>An input. Change it and the model updates.</t>
  </si>
  <si>
    <t>Black text</t>
  </si>
  <si>
    <t>A formula. Do not overwrite; it derives from inputs.</t>
  </si>
  <si>
    <t>Green text</t>
  </si>
  <si>
    <t>Flex Credits ($0.005/credit; $0.10/action, $0.15/voice), or $2/conversation, or $125/user digital labor</t>
  </si>
  <si>
    <t>Mid-market ~$1,250-4,200/mo licenses, plus Data Cloud $65k-175k/yr; implementation 5-11 months</t>
  </si>
  <si>
    <t>Agentic actions inside Salesforce. Needs Service Cloud + Data Cloud. Not a GTM engine.</t>
  </si>
  <si>
    <t>1</t>
  </si>
  <si>
    <t>A link that pulls a number from another tab.</t>
  </si>
  <si>
    <t>help.salesforce, coworker.ai, getclientell, concret.io (2026)</t>
  </si>
  <si>
    <t>Yellow fill</t>
  </si>
  <si>
    <t>0</t>
  </si>
  <si>
    <t>A key assumption or a cell you should set for your deal.</t>
  </si>
  <si>
    <t>500</t>
  </si>
  <si>
    <t>Note</t>
  </si>
  <si>
    <t>All numbers are starting hypotheses anchored to competitor pricing and to the real Affinity deal. Calibrate against pilot data before quoting. Large accounts are partner-led per the locked ICP. Economics shown elsewhere are directional (public info plus stated assumptions), not guaranteed customer outcomes.</t>
  </si>
  <si>
    <t>Solo founder kicking the tires. One channel (email or LinkedIn), bring-your-own mailbox and LLM key, community support. The wedge.</t>
  </si>
  <si>
    <t>Clari (+ Salesloft)</t>
  </si>
  <si>
    <t>Per-seat, per module, annual, quote-only</t>
  </si>
  <si>
    <t>Startup</t>
  </si>
  <si>
    <t>$100-310/user/mo full stack; SMB avg ~$72k/yr, enterprise avg ~$362k/yr; implementation $15k-75k</t>
  </si>
  <si>
    <t>Forecasting, pipeline inspection, engagement. Visibility, not execution.</t>
  </si>
  <si>
    <t>docket.io, marketbetter, spendhound, hackingdemand (2026)</t>
  </si>
  <si>
    <t>11x (Alice / Julian)</t>
  </si>
  <si>
    <t>AI-SDR digital worker, annual, quote-only, on leads contacted</t>
  </si>
  <si>
    <t>From $36k/yr; typically ~$5k/mo, Year-1 $50-60k; ~$1.67/contact; Julian Voice $5,333/mo</t>
  </si>
  <si>
    <t>Outbound only (one of ten layers).</t>
  </si>
  <si>
    <t>11x.ai, altitudebiz, formanorden, breakout (2026)</t>
  </si>
  <si>
    <t>Artisan (Ava) / AiSDR</t>
  </si>
  <si>
    <t>AI-BDR subscription + credits</t>
  </si>
  <si>
    <t>Artisan $600-5,000/mo (30k credits); AiSDR $250-2,500/mo (transparent)</t>
  </si>
  <si>
    <t>Outbound only.</t>
  </si>
  <si>
    <t>11x.ai/guides, cleanlist, miniloop (2026)</t>
  </si>
  <si>
    <t>Apollo.io</t>
  </si>
  <si>
    <t>Per-seat + credits (email 1 cr, phone 8 cr)</t>
  </si>
  <si>
    <t>$49-149/user/mo; overage $25/1,000 credits; active teams $150-400/user</t>
  </si>
  <si>
    <t>Lead data + sequencing. A rail RAI orchestrates, not the brain.</t>
  </si>
  <si>
    <t>apollo.io, docket.io, hackingdemand, puzzleinbox (2026)</t>
  </si>
  <si>
    <t>Clay</t>
  </si>
  <si>
    <t>Pure usage credits, unlimited seats (Data Credits + Actions)</t>
  </si>
  <si>
    <t>Launch $185/mo, Growth $495/mo; Enterprise from $30k/yr</t>
  </si>
  <si>
    <t>Enrichment / waterfall. A rail, not the motion.</t>
  </si>
  <si>
    <t>clay.com, landbase, cleanlist, salesmotion (2026)</t>
  </si>
  <si>
    <t>3,000</t>
  </si>
  <si>
    <t>5</t>
  </si>
  <si>
    <t>3</t>
  </si>
  <si>
    <t>Unfunded or solo founder who needs pipeline. Email + LinkedIn, self-serve, three mailboxes included.</t>
  </si>
  <si>
    <t>The stack RAI replaces (representative mid-market, ~5 seats)</t>
  </si>
  <si>
    <t>Sum of point tools + headcount</t>
  </si>
  <si>
    <t>~$4,000-8,000/mo in tools (Apollo + Clay + Outreach/Salesloft + HubSpot + AI SDR + content + BI) plus SDR headcount and a RevOps orchestrator</t>
  </si>
  <si>
    <t>Ten layers, spread across 20+ tools, glued by a human</t>
  </si>
  <si>
    <t>Composed from the rows above (2026)</t>
  </si>
  <si>
    <t>RAI (Adya)</t>
  </si>
  <si>
    <t>2</t>
  </si>
  <si>
    <t>15,000</t>
  </si>
  <si>
    <t>10</t>
  </si>
  <si>
    <t>SMB or a small GTM team. Adds WhatsApp, standard CRM and calendar integrations, assisted onboarding, rep visibility.</t>
  </si>
  <si>
    <t>Subscription + usage credits + integrations</t>
  </si>
  <si>
    <t>Free / Startup $99 / Growth $499 / Scale $1,999/mo / Enterprise from $102k/yr</t>
  </si>
  <si>
    <t>All ten layers. One brain, one memory, one loop.</t>
  </si>
  <si>
    <t>This model</t>
  </si>
  <si>
    <t>Reading</t>
  </si>
  <si>
    <t>The single-function tools (11x, Apollo, Clay) reveal how much a slice costs on its own; the suites (HubSpot, Agentforce, Clari) reveal how the incumbents package seats plus credits. RAI is priced to sit under the replaced stack at every size while doing the whole job.</t>
  </si>
  <si>
    <t>25</t>
  </si>
  <si>
    <t>60,000</t>
  </si>
  <si>
    <t>20</t>
  </si>
  <si>
    <t>6</t>
  </si>
  <si>
    <t>Mid-market, agency or VC portfolio. All channels incl. voice and ads, SSO and audit, up to three brand workspaces, managed-service option.</t>
  </si>
  <si>
    <t>from 8,500</t>
  </si>
  <si>
    <t>quoted USD</t>
  </si>
  <si>
    <t>15</t>
  </si>
  <si>
    <t>100</t>
  </si>
  <si>
    <t>400,000</t>
  </si>
  <si>
    <t>Unlimited</t>
  </si>
  <si>
    <t>Partner-led. Agency / VC portfolio / 200-rep visibility. Full AGP governance, white-glove managed, SLA. Builds to $250k-$1M+ on workspaces and volume.</t>
  </si>
  <si>
    <t>Annual &amp; multi-year</t>
  </si>
  <si>
    <t>Annual is 15% off, 2-year 22%, 3-year 28% (see Accelerators). Credits, seats, channels and integrations beyond the inclusions are priced on the Accelerators rate card and metered in QuoteBuilder.</t>
  </si>
  <si>
    <t>Machine-readable inclusions (numbers QuoteBuilder reads; edit here, display table above is cosmetic)</t>
  </si>
  <si>
    <t>Base $/mo</t>
  </si>
  <si>
    <t>Op incl</t>
  </si>
  <si>
    <t>Rep incl</t>
  </si>
  <si>
    <t>Credits incl</t>
  </si>
  <si>
    <t>Integ incl</t>
  </si>
  <si>
    <t>Mbx incl</t>
  </si>
  <si>
    <t>LinkedIn incl</t>
  </si>
  <si>
    <t>Workspace incl</t>
  </si>
  <si>
    <t>Enterprise integration allowance is set to a very large number to represent 'unlimited', so QuoteBuilder never charges integration overage on Enterprise. Enterprise base is a floor; edit the base cell for a quoted deal.</t>
  </si>
  <si>
    <t>RAI Credits  |  the meter on the work RAI actually does</t>
  </si>
  <si>
    <t>One credit is about one email reach-out, roughly one cent. Every action RAI takes draws credits by weight, so a light email and a costly voice minute are priced fairly against each other. Tiers include a monthly pool; beyond it, credits come from packs.</t>
  </si>
  <si>
    <t>Credit price</t>
  </si>
  <si>
    <t>$/credit</t>
  </si>
  <si>
    <t>$/1,000</t>
  </si>
  <si>
    <t>When</t>
  </si>
  <si>
    <t>Retail (overage)</t>
  </si>
  <si>
    <t>RAI Integrations  |  the thirty-plus tools RAI drives, and the channels it runs on</t>
  </si>
  <si>
    <t>RAI is the brain; these are the plumbing. Each tier includes a number of integration slots; beyond that each active integration is a small monthly fee. Channel infrastructure (mailboxes, LinkedIn accounts, WhatsApp and voice numbers) is priced per unit. Heavy third-party usage is passed through at cost plus handling.</t>
  </si>
  <si>
    <t>Class</t>
  </si>
  <si>
    <t>Pay-as-you-go beyond the included pool. Matches HubSpot credit pricing.</t>
  </si>
  <si>
    <t>Committed pack</t>
  </si>
  <si>
    <t>Integrations (shown as logos in the deck)</t>
  </si>
  <si>
    <t>Count</t>
  </si>
  <si>
    <t>How it is billed</t>
  </si>
  <si>
    <t>Pre-committed for the term.</t>
  </si>
  <si>
    <t>CRM</t>
  </si>
  <si>
    <t>Enterprise pool</t>
  </si>
  <si>
    <t>HubSpot, Salesforce, Zoho, Pipedrive</t>
  </si>
  <si>
    <t>Integration slot fee. RAI can also run its own built-in CRM.</t>
  </si>
  <si>
    <t>Mail</t>
  </si>
  <si>
    <t>Large pre-committed pools. Matches Agentforce Flex Credits.</t>
  </si>
  <si>
    <t>Gmail, Outlook / M365, Zoho Mail</t>
  </si>
  <si>
    <t>Action</t>
  </si>
  <si>
    <t>~ $ each</t>
  </si>
  <si>
    <t>Slot fee; mailboxes are the metered unit (below).</t>
  </si>
  <si>
    <t>Notes</t>
  </si>
  <si>
    <t>Data / enrichment</t>
  </si>
  <si>
    <t>Email reach-out (sent)</t>
  </si>
  <si>
    <t>Prospeo, Apollo, Lusha, Icypeas, FullEnrich</t>
  </si>
  <si>
    <t>Slot fee + data passed through at cost + handling, or bundled in credits at SMB tiers.</t>
  </si>
  <si>
    <t>Scraping</t>
  </si>
  <si>
    <t>Apify, Serper / Tavily</t>
  </si>
  <si>
    <t>Slot fee + volume passed through (Apify ~$4/1,000).</t>
  </si>
  <si>
    <t>Unipile</t>
  </si>
  <si>
    <t>Slot fee; LinkedIn accounts are the metered unit (below).</t>
  </si>
  <si>
    <t>Messaging</t>
  </si>
  <si>
    <t>WhatsApp / WABA, MSG91, Kalyera</t>
  </si>
  <si>
    <t>Slot fee + per-conversation fees passed through.</t>
  </si>
  <si>
    <t>Mailbox infra</t>
  </si>
  <si>
    <t>InboxKit</t>
  </si>
  <si>
    <t>Slot fee; mailboxes metered per unit.</t>
  </si>
  <si>
    <t>Voice / telephony</t>
  </si>
  <si>
    <t>Voice agent, telephony provider</t>
  </si>
  <si>
    <t>Slot fee + per-minute passed through.</t>
  </si>
  <si>
    <t>Ad channels</t>
  </si>
  <si>
    <t>Google Ads, Meta Ads, LinkedIn Ads, Reddit Ads</t>
  </si>
  <si>
    <t>Slot fee; ad spend is the customer's own, passed through.</t>
  </si>
  <si>
    <t>The anchor. One credit, ~one cent, one send.</t>
  </si>
  <si>
    <t>Social</t>
  </si>
  <si>
    <t>X / Twitter, Reddit, LinkedIn Pages</t>
  </si>
  <si>
    <t>Slot fee.</t>
  </si>
  <si>
    <t>Inbound reply drafted</t>
  </si>
  <si>
    <t>Calendar</t>
  </si>
  <si>
    <t>Google Calendar, Calendly</t>
  </si>
  <si>
    <t>BI / analytics</t>
  </si>
  <si>
    <t>Segment / analytics, dashboards</t>
  </si>
  <si>
    <t>Slot fee; RAI also has a built-in BI agent.</t>
  </si>
  <si>
    <t>RAI drafts; a human approves before it goes.</t>
  </si>
  <si>
    <t>LinkedIn connect request</t>
  </si>
  <si>
    <t>Via Unipile. Respects the weekly send governors.</t>
  </si>
  <si>
    <t>LinkedIn message / InMail</t>
  </si>
  <si>
    <t>Total standard integrations</t>
  </si>
  <si>
    <t>Personalised by variable substitution from templates.</t>
  </si>
  <si>
    <t>WhatsApp / SMS message</t>
  </si>
  <si>
    <t>Custom integrations beyond these are built as a service (see Services).</t>
  </si>
  <si>
    <t>Plus WABA/MSG91 conversation fees passed through.</t>
  </si>
  <si>
    <t>Metered unit</t>
  </si>
  <si>
    <t>Voice AI call</t>
  </si>
  <si>
    <t>Rate</t>
  </si>
  <si>
    <t>Unit</t>
  </si>
  <si>
    <t>Integration slot (beyond included)</t>
  </si>
  <si>
    <t>Per minute. Plus telephony minutes passed through.</t>
  </si>
  <si>
    <t>Lead sourced + verified</t>
  </si>
  <si>
    <t>Multi-source (Prospeo primary + agreement). Bundles the data cost at SMB tiers.</t>
  </si>
  <si>
    <t>Contact / company enrichment</t>
  </si>
  <si>
    <t>per integration / mo</t>
  </si>
  <si>
    <t>Each active integration past the tier's included slots.</t>
  </si>
  <si>
    <t>Firmographic and persona fill.</t>
  </si>
  <si>
    <t>Mailbox (all-in)</t>
  </si>
  <si>
    <t>Signal check (per account, per category)</t>
  </si>
  <si>
    <t>Hiring, ads, intent, posts, financial, and so on.</t>
  </si>
  <si>
    <t>Social post / caption</t>
  </si>
  <si>
    <t>per mailbox / mo</t>
  </si>
  <si>
    <t>Host + warm-up + infra. From the Affinity model.</t>
  </si>
  <si>
    <t>Domain</t>
  </si>
  <si>
    <t>For inbound and community.</t>
  </si>
  <si>
    <t>Image</t>
  </si>
  <si>
    <t>per domain / yr</t>
  </si>
  <si>
    <t>One-time annual.</t>
  </si>
  <si>
    <t>LinkedIn account (Scale rate)</t>
  </si>
  <si>
    <t>On-brand image asset.</t>
  </si>
  <si>
    <t>per account / mo</t>
  </si>
  <si>
    <t>Rented, Sales Navigator bundled. Growth/Starter/BYO rates on Accelerators.</t>
  </si>
  <si>
    <t>Infographic</t>
  </si>
  <si>
    <t>WhatsApp number (WABA)</t>
  </si>
  <si>
    <t>Multi-element designed asset.</t>
  </si>
  <si>
    <t>per number / mo</t>
  </si>
  <si>
    <t>Plus per-conversation fees passed through.</t>
  </si>
  <si>
    <t>Newsletter issue</t>
  </si>
  <si>
    <t>Voice number + telephony base</t>
  </si>
  <si>
    <t>Plus per-minute passed through.</t>
  </si>
  <si>
    <t>Written and formatted, hosted natively.</t>
  </si>
  <si>
    <t>Brand workspace</t>
  </si>
  <si>
    <t>Short video</t>
  </si>
  <si>
    <t>per workspace / mo</t>
  </si>
  <si>
    <t>Extra brand/tenant. The scaling lever for agencies and VC portfolios.</t>
  </si>
  <si>
    <t>Generated short-form video.</t>
  </si>
  <si>
    <t>Deep research run</t>
  </si>
  <si>
    <t>Pass-through policy</t>
  </si>
  <si>
    <t>Third-party data (Prospeo ~$0.01/lead, Apify ~$4/1,000), WhatsApp conversations, telephony minutes, LLM tokens and ad spend are billed at cost plus a 10% handling fee at Scale and Enterprise (transparent), or bundled into credits at the self-serve tiers (simple). The lead-gen waterfall runs Serper/Tavily then Apify then Prospeo, with Icypeas/FullEnrich as fallback: about $0.013-0.024 per verified lead all in.</t>
  </si>
  <si>
    <t>Full research pass on a market, account or competitor.</t>
  </si>
  <si>
    <t>Strategy synthesis / plan</t>
  </si>
  <si>
    <t>A planned motion or campaign strategy.</t>
  </si>
  <si>
    <t>BI report / dashboard on demand</t>
  </si>
  <si>
    <t>Generated by the data-analyst agent.</t>
  </si>
  <si>
    <t>Ad creative + campaign setup</t>
  </si>
  <si>
    <t>Ad spend itself is pass-through, not credits.</t>
  </si>
  <si>
    <t>Meeting booked (outcome)</t>
  </si>
  <si>
    <t>Optional outcome credit, for outcome-based deals.</t>
  </si>
  <si>
    <t>What a pool buys</t>
  </si>
  <si>
    <t>Example: Growth's 15,000 credits/mo is about 15,000 emails, or 3,750 LinkedIn messages, or 5,000 verified leads, or 750 images, or a blend across all of them. Scale's 60,000 and Enterprise's 400,000 scale the same way. Weights are inputs; tune them against real cost once pilots run.</t>
  </si>
  <si>
    <t>RAI Accelerators  |  the engine that grows an account</t>
  </si>
  <si>
    <t>Every rate QuoteBuilder uses lives here, so there is one source of truth. Price rises as the account adds seats, credits, channels, integrations and brands. Blue cells are inputs you can edit.</t>
  </si>
  <si>
    <t>GLOBAL ASSUMPTIONS</t>
  </si>
  <si>
    <t>Value</t>
  </si>
  <si>
    <t>FX rate (INR per USD)</t>
  </si>
  <si>
    <t>Used to convert self-serve list prices to India rupees.</t>
  </si>
  <si>
    <t>India self-serve factor</t>
  </si>
  <si>
    <t>India self-serve tiers = global USD x FX x this factor. Enterprise is quoted in USD.</t>
  </si>
  <si>
    <t>RAI Credit price, retail ($/credit)</t>
  </si>
  <si>
    <t>One credit ~ one email reach-out. Matches the $0.01-per-reach-out economics. HubSpot credits are ~$0.01 too.</t>
  </si>
  <si>
    <t>RAI Credit price, committed ($/credit)</t>
  </si>
  <si>
    <t>Price when credits are pre-committed for the term.</t>
  </si>
  <si>
    <t>RAI Credit price, enterprise ($/credit)</t>
  </si>
  <si>
    <t>Large pre-committed pools. Matches Agentforce Flex Credits ($0.005).</t>
  </si>
  <si>
    <t>Pass-through handling markup</t>
  </si>
  <si>
    <t>Third-party data, WhatsApp, telephony and ad spend billed at cost plus this handling.</t>
  </si>
  <si>
    <t>DEPLOYMENT MULTIPLIER</t>
  </si>
  <si>
    <t>Multiple</t>
  </si>
  <si>
    <t>One-time impl ($)</t>
  </si>
  <si>
    <t>When it applies</t>
  </si>
  <si>
    <t>SaaS (default)</t>
  </si>
  <si>
    <t>Multi-tenant cloud. Almost every RAI deal. RAI touches live external channels, so on-prem is rare.</t>
  </si>
  <si>
    <t>Private / BYOC</t>
  </si>
  <si>
    <t>Customer's own cloud for data-residency or security review. Enterprise / regulated.</t>
  </si>
  <si>
    <t>On-prem / self-hosted</t>
  </si>
  <si>
    <t>Full self-host. Uncommon for a GTM engine; partner-led only.</t>
  </si>
  <si>
    <t>SERVICE LEVEL MULTIPLIER</t>
  </si>
  <si>
    <t>What Adya does</t>
  </si>
  <si>
    <t>Self-serve</t>
  </si>
  <si>
    <t>Customer runs RAI themselves. Software only.</t>
  </si>
  <si>
    <t>Assisted (co-pilot)</t>
  </si>
  <si>
    <t>Adya helps configure, launch and optimise the motion.</t>
  </si>
  <si>
    <t>Fully-managed (done-for-you)</t>
  </si>
  <si>
    <t>Adya runs the whole motion for a team that cannot hire sales. Core RAI wedge for SMBs.</t>
  </si>
  <si>
    <t>COMMITMENT DISCOUNT</t>
  </si>
  <si>
    <t>Discount</t>
  </si>
  <si>
    <t>Applies to recurring RAI fees, not to pass-through</t>
  </si>
  <si>
    <t>Monthly</t>
  </si>
  <si>
    <t>No commitment, list price.</t>
  </si>
  <si>
    <t>RAI Services  |  onboarding and customization, one-time plus recurring</t>
  </si>
  <si>
    <t>Annual</t>
  </si>
  <si>
    <t>12-month term paid annually.</t>
  </si>
  <si>
    <t>The done-for-you work that gets a customer live and keeps them ahead. One-time fees scale small / medium / large by scope. Some carry a recurring add-on. Assisted and fully-managed service levels (see Accelerators) sit on top of these.</t>
  </si>
  <si>
    <t>2-year</t>
  </si>
  <si>
    <t>Two-year term.</t>
  </si>
  <si>
    <t>Service</t>
  </si>
  <si>
    <t>3-year</t>
  </si>
  <si>
    <t>Small $</t>
  </si>
  <si>
    <t>Three-year term, best rate.</t>
  </si>
  <si>
    <t>Medium $</t>
  </si>
  <si>
    <t>Large $</t>
  </si>
  <si>
    <t>Recurring</t>
  </si>
  <si>
    <t>What it covers</t>
  </si>
  <si>
    <t>PER-UNIT RATE CARD (beyond what a tier includes)</t>
  </si>
  <si>
    <t>Onboarding &amp; GTM strategy build</t>
  </si>
  <si>
    <t>Operator seat</t>
  </si>
  <si>
    <t>included in tier</t>
  </si>
  <si>
    <t>per seat / mo</t>
  </si>
  <si>
    <t>Company, products, ICP, personas, geo, brand voice, positioning, plus the same profile per competitor and the channel plan. Included assisted at Growth+.</t>
  </si>
  <si>
    <t>Full user: configures campaigns, approves replies, reads analytics. Deliberately cheap vs Clari ($200-310/seat) because RAI is not priced per human.</t>
  </si>
  <si>
    <t>Brand-voice + template library training</t>
  </si>
  <si>
    <t>Rep-visibility seat</t>
  </si>
  <si>
    <t>Read-only performance visibility for a sales team (the 200-rep visibility case). Very cheap.</t>
  </si>
  <si>
    <t>-</t>
  </si>
  <si>
    <t>Learns the voice from past content across hundreds of parameters and builds the personalised template library.</t>
  </si>
  <si>
    <t>An extra brand/tenant beyond the tier's included workspaces. The scaling lever for agencies and VC portfolios.</t>
  </si>
  <si>
    <t>Domain + mailbox infrastructure setup</t>
  </si>
  <si>
    <t>Integration slot</t>
  </si>
  <si>
    <t>Domains, mailboxes, warm-up and deliverability infra. Scales with the number of mailboxes and domains.</t>
  </si>
  <si>
    <t>Each active integration beyond the tier's included slots.</t>
  </si>
  <si>
    <t>Custom integration build (beyond the 30)</t>
  </si>
  <si>
    <t>+$75/mo</t>
  </si>
  <si>
    <t>A connector RAI does not ship out of the box.</t>
  </si>
  <si>
    <t>Custom workflow / play</t>
  </si>
  <si>
    <t>Host + warm-up + infra. From the Affinity model ($3 + $1 + $1). No separate creation fee.</t>
  </si>
  <si>
    <t>A bespoke ABM, drip or signal play wired into RAI.</t>
  </si>
  <si>
    <t>CRM / BI migration &amp; sync</t>
  </si>
  <si>
    <t>per domain / yr (one-time annual)</t>
  </si>
  <si>
    <t>Sending domain. Treated as a one-time annual cost (~$11-12), not monthly.</t>
  </si>
  <si>
    <t>Move and sync an existing CRM or BI tool so RAI runs against it.</t>
  </si>
  <si>
    <t>Custom voice-agent build</t>
  </si>
  <si>
    <t>LinkedIn account, Scale (21+)</t>
  </si>
  <si>
    <t>+$150/mo</t>
  </si>
  <si>
    <t>Persona, scripts and telephony for the voice AI agent.</t>
  </si>
  <si>
    <t>Rented account with Sales Navigator bundled. Packaged all-in per the LinkedIn BRD (Model B).</t>
  </si>
  <si>
    <t>Dedicated deliverability management</t>
  </si>
  <si>
    <t>LinkedIn account, Growth (6-20)</t>
  </si>
  <si>
    <t>+$500/mo</t>
  </si>
  <si>
    <t>Packaged all-in, 6-20 accounts.</t>
  </si>
  <si>
    <t>Ongoing warm-up, throttles, invite aging and suppression tuning to guard the domain and LinkedIn accounts.</t>
  </si>
  <si>
    <t>Multi-tenant / white-label setup</t>
  </si>
  <si>
    <t>LinkedIn account, Starter (1-5)</t>
  </si>
  <si>
    <t>per workspace</t>
  </si>
  <si>
    <t>For agencies and VC firms running many brands under one roof.</t>
  </si>
  <si>
    <t>Packaged all-in, 1-5 accounts.</t>
  </si>
  <si>
    <t>Self-improving copy model (fine-tuned SLM)</t>
  </si>
  <si>
    <t>LinkedIn account, BYO</t>
  </si>
  <si>
    <t>+ hosting</t>
  </si>
  <si>
    <t>Graduates outbound from template selection to generated copy that learns from RAI's own send-and-track loop. Enterprise only.</t>
  </si>
  <si>
    <t>Customer brings their own LinkedIn; Adya platform + automation fee only.</t>
  </si>
  <si>
    <t>Sales Navigator add-on</t>
  </si>
  <si>
    <t>Only if not already bundled ($139 at Scale).</t>
  </si>
  <si>
    <t>Small / medium / large is set by scope: number of sources, locales, mailboxes, brands or workflow complexity. Pick the column that fits the deal in QuoteBuilder.</t>
  </si>
  <si>
    <t>Plus per-conversation WABA fees passed through at cost + handling.</t>
  </si>
  <si>
    <t>Plus per-minute telephony passed through at cost + handling.</t>
  </si>
  <si>
    <t>RAI QuoteBuilder  |  live deal calculator</t>
  </si>
  <si>
    <t>LinkedIn bulk tiers mirror LinkedRent: 1-4 accounts 0%, 5-9 5%, 10-19 10%, 20+ 15%. QuoteBuilder uses the Scale rate by default; pick the row that matches the account count for a precise quote.</t>
  </si>
  <si>
    <t>Set the blue cells. Green cells pull rates from the other tabs; black cells are formulas. Prefilled with a worked agency example: a growth-stage agency running GTM for its own brand plus five client brands.</t>
  </si>
  <si>
    <t>1) DEAL SHAPE</t>
  </si>
  <si>
    <t>Choice</t>
  </si>
  <si>
    <t>Pick from the dropdown</t>
  </si>
  <si>
    <t>Free / Startup / Growth / Scale / Enterprise</t>
  </si>
  <si>
    <t>Service level</t>
  </si>
  <si>
    <t>Self-serve / Assisted / Fully-managed</t>
  </si>
  <si>
    <t>Deployment</t>
  </si>
  <si>
    <t>SaaS / Private / On-prem</t>
  </si>
  <si>
    <t>Commitment</t>
  </si>
  <si>
    <t>Monthly / Annual / 2-year / 3-year</t>
  </si>
  <si>
    <t>Base fee (from tier)</t>
  </si>
  <si>
    <t>Monthly platform fee for the chosen tier. Enterprise base is a floor; edit for the quoted deal.</t>
  </si>
  <si>
    <t>Service-level multiplier</t>
  </si>
  <si>
    <t>Deployment multiplier</t>
  </si>
  <si>
    <t>Deployment one-time impl</t>
  </si>
  <si>
    <t>Commitment discount</t>
  </si>
  <si>
    <t>2) RAI RECURRING (per month)</t>
  </si>
  <si>
    <t>Qty</t>
  </si>
  <si>
    <t>$ / mo</t>
  </si>
  <si>
    <t>These are marked up by service level, deployment and commitment</t>
  </si>
  <si>
    <t>Platform base fee</t>
  </si>
  <si>
    <t>One base fee for the tier.</t>
  </si>
  <si>
    <t>Operator seats (total)</t>
  </si>
  <si>
    <t>Included in tier is pulled automatically; you pay only for the excess. Rate $99/seat.</t>
  </si>
  <si>
    <t>Rep-visibility seats (total)</t>
  </si>
  <si>
    <t>For sales-team performance visibility. Cheap.</t>
  </si>
  <si>
    <t>Brand workspaces (total)</t>
  </si>
  <si>
    <t>Own brand + five client brands = 6. Three included at Scale, three billed.</t>
  </si>
  <si>
    <t>Active integrations (total)</t>
  </si>
  <si>
    <t>Twenty included at Scale; four billed.</t>
  </si>
  <si>
    <t>Mailboxes (total)</t>
  </si>
  <si>
    <t>Twenty-five included at Scale; thirty-five billed at $5.</t>
  </si>
  <si>
    <t>LinkedIn accounts (total)</t>
  </si>
  <si>
    <t>Six included at Scale; six billed at the Scale rate (Sales Navigator bundled).</t>
  </si>
  <si>
    <t>WhatsApp numbers</t>
  </si>
  <si>
    <t>Number fee only; conversations are pass-through below.</t>
  </si>
  <si>
    <t>Voice numbers</t>
  </si>
  <si>
    <t>Number fee only; minutes are pass-through below.</t>
  </si>
  <si>
    <t>Credits used / mo (total)</t>
  </si>
  <si>
    <t>Sixty thousand included at Scale; the rest at retail. Buy a committed pack to lower the rate.</t>
  </si>
  <si>
    <t>RAI recurring subtotal (pre-multiplier)</t>
  </si>
  <si>
    <t>Sum of the lines above.</t>
  </si>
  <si>
    <t>Adjusted recurring / mo</t>
  </si>
  <si>
    <t>Subtotal x service level x deployment x (1 - commitment discount).</t>
  </si>
  <si>
    <t>3) PASS-THROUGH (per month, at cost + handling)</t>
  </si>
  <si>
    <t>Cost $</t>
  </si>
  <si>
    <t>Not marked up by service level or commitment</t>
  </si>
  <si>
    <t>WhatsApp / SMS conversations</t>
  </si>
  <si>
    <t>WABA / MSG91 conversation fees.</t>
  </si>
  <si>
    <t>Voice telephony minutes</t>
  </si>
  <si>
    <t>Per-minute telephony.</t>
  </si>
  <si>
    <t>Third-party data / enrichment</t>
  </si>
  <si>
    <t>Prospeo, Apify and fallbacks, at cost.</t>
  </si>
  <si>
    <t>Ad spend</t>
  </si>
  <si>
    <t>The customer's own ad budget, passed straight through (0 here).</t>
  </si>
  <si>
    <t>Pass-through subtotal / mo</t>
  </si>
  <si>
    <t>At cost plus handling.</t>
  </si>
  <si>
    <t>4) ONE-TIME (setup &amp; services)</t>
  </si>
  <si>
    <t>$</t>
  </si>
  <si>
    <t>From Services + deployment impl</t>
  </si>
  <si>
    <t>Multi-brand onboarding &amp; strategy (M)</t>
  </si>
  <si>
    <t>Six brands.</t>
  </si>
  <si>
    <t>Brand-voice + template training (M)</t>
  </si>
  <si>
    <t>Shared across brands.</t>
  </si>
  <si>
    <t>Domain + mailbox infrastructure (L)</t>
  </si>
  <si>
    <t>Sixty mailboxes.</t>
  </si>
  <si>
    <t>Custom integration (M)</t>
  </si>
  <si>
    <t>One bespoke connector.</t>
  </si>
  <si>
    <t>CRM / BI migration (M)</t>
  </si>
  <si>
    <t>Sync the agency's stack.</t>
  </si>
  <si>
    <t>Custom voice-agent build (S)</t>
  </si>
  <si>
    <t>One voice persona.</t>
  </si>
  <si>
    <t>Multi-tenant / white-label setup (M)</t>
  </si>
  <si>
    <t>Agency running many brands.</t>
  </si>
  <si>
    <t>Deployment implementation</t>
  </si>
  <si>
    <t>Pulled from the deployment choice (SaaS = 0).</t>
  </si>
  <si>
    <t>One-time subtotal</t>
  </si>
  <si>
    <t>5) TOTALS</t>
  </si>
  <si>
    <t>Amount</t>
  </si>
  <si>
    <t>Total recurring / mo</t>
  </si>
  <si>
    <t>Adjusted RAI recurring + pass-through.</t>
  </si>
  <si>
    <t>Annual recurring</t>
  </si>
  <si>
    <t>Year-1 total (annual + one-time)</t>
  </si>
  <si>
    <t>What the customer pays in the first year.</t>
  </si>
  <si>
    <t>Year-1 total in India (₹)</t>
  </si>
  <si>
    <t>Self-serve India factor applied for illustration. Enterprise is usually quoted in USD.</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</si>
</sst>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
    <numFmt numFmtId="165" formatCode="\₹#,##0"/>
    <numFmt numFmtId="166" formatCode="\$0.000"/>
    <numFmt numFmtId="167" formatCode="\$0.00"/>
    <numFmt numFmtId="168" formatCode="0.00\x"/>
  </numFmts>
  <fonts count="16">
    <font>
      <sz val="11.0"/>
      <color theme="1"/>
      <name val="Calibri"/>
      <scheme val="minor"/>
    </font>
    <font>
      <b/>
      <sz val="16.0"/>
      <color rgb="FF0A2540"/>
      <name val="Arial"/>
    </font>
    <font>
      <i/>
      <sz val="10.0"/>
      <color rgb="FF595959"/>
      <name val="Arial"/>
    </font>
    <font>
      <b/>
      <sz val="10.0"/>
      <color rgb="FF000000"/>
      <name val="Arial"/>
    </font>
    <font>
      <b/>
      <sz val="10.0"/>
      <color rgb="FFFFFFFF"/>
      <name val="Arial"/>
    </font>
    <font>
      <sz val="10.0"/>
      <color rgb="FF000000"/>
      <name val="Arial"/>
    </font>
    <font>
      <i/>
      <sz val="9.0"/>
      <color rgb="FF000000"/>
      <name val="Arial"/>
    </font>
    <font>
      <b/>
      <sz val="10.0"/>
      <color rgb="FF0000FF"/>
      <name val="Arial"/>
    </font>
    <font/>
    <font>
      <sz val="10.0"/>
      <color rgb="FF008000"/>
      <name val="Arial"/>
    </font>
    <font>
      <b/>
      <sz val="10.0"/>
      <color rgb="FF008000"/>
      <name val="Arial"/>
    </font>
    <font>
      <sz val="10.0"/>
      <color rgb="FFFFFFFF"/>
      <name val="Arial"/>
    </font>
    <font>
      <i/>
      <sz val="9.0"/>
      <color rgb="FFFFFFFF"/>
      <name val="Arial"/>
    </font>
    <font>
      <i/>
      <sz val="10.0"/>
      <color rgb="FF808080"/>
      <name val="Arial"/>
    </font>
    <font>
      <sz val="10.0"/>
      <color rgb="FF0000FF"/>
      <name val="Arial"/>
    </font>
    <font>
      <i/>
      <sz val="10.0"/>
      <color rgb="FF000000"/>
      <name val="Arial"/>
    </font>
  </fonts>
  <fills count="9">
    <fill>
      <patternFill patternType="none"/>
    </fill>
    <fill>
      <patternFill patternType="lightGray"/>
    </fill>
    <fill>
      <patternFill patternType="solid">
        <fgColor rgb="FFDCE7FE"/>
        <bgColor rgb="FFDCE7FE"/>
      </patternFill>
    </fill>
    <fill>
      <patternFill patternType="solid">
        <fgColor rgb="FF2563EB"/>
        <bgColor rgb="FF2563EB"/>
      </patternFill>
    </fill>
    <fill>
      <patternFill patternType="solid">
        <fgColor rgb="FFFFFFFF"/>
        <bgColor rgb="FFFFFFFF"/>
      </patternFill>
    </fill>
    <fill>
      <patternFill patternType="solid">
        <fgColor rgb="FFF3F7FF"/>
        <bgColor rgb="FFF3F7FF"/>
      </patternFill>
    </fill>
    <fill>
      <patternFill patternType="solid">
        <fgColor rgb="FFFFF2B2"/>
        <bgColor rgb="FFFFF2B2"/>
      </patternFill>
    </fill>
    <fill>
      <patternFill patternType="solid">
        <fgColor rgb="FF15803D"/>
        <bgColor rgb="FF15803D"/>
      </patternFill>
    </fill>
    <fill>
      <patternFill patternType="solid">
        <fgColor rgb="FFE7EEF7"/>
        <bgColor rgb="FFE7EEF7"/>
      </patternFill>
    </fill>
  </fills>
  <borders count="6">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top style="thin">
        <color rgb="FFBFBFBF"/>
      </top>
      <bottom style="thin">
        <color rgb="FFBFBFBF"/>
      </bottom>
    </border>
    <border>
      <right style="thin">
        <color rgb="FFBFBFBF"/>
      </right>
      <top style="thin">
        <color rgb="FFBFBFBF"/>
      </top>
      <bottom style="thin">
        <color rgb="FFBFBFBF"/>
      </bottom>
    </border>
  </borders>
  <cellStyleXfs count="1">
    <xf borderId="0" fillId="0" fontId="0" numFmtId="0" applyAlignment="1" applyFont="1"/>
  </cellStyleXfs>
  <cellXfs count="79">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1"/>
    </xf>
    <xf borderId="1" fillId="2" fontId="3" numFmtId="0" xfId="0" applyAlignment="1" applyBorder="1" applyFill="1" applyFont="1">
      <alignment horizontal="left" shrinkToFit="0" vertical="center" wrapText="1"/>
    </xf>
    <xf borderId="1" fillId="3" fontId="4" numFmtId="0" xfId="0" applyAlignment="1" applyBorder="1" applyFill="1" applyFont="1">
      <alignment horizontal="center" shrinkToFit="0" vertical="center" wrapText="1"/>
    </xf>
    <xf borderId="1" fillId="0" fontId="5" numFmtId="0" xfId="0" applyAlignment="1" applyBorder="1" applyFont="1">
      <alignment horizontal="left" shrinkToFit="0" vertical="center" wrapText="1"/>
    </xf>
    <xf borderId="1" fillId="4" fontId="5" numFmtId="0" xfId="0" applyAlignment="1" applyBorder="1" applyFill="1" applyFont="1">
      <alignment horizontal="left" shrinkToFit="0" vertical="center" wrapText="1"/>
    </xf>
    <xf borderId="1" fillId="0" fontId="3" numFmtId="0" xfId="0" applyAlignment="1" applyBorder="1" applyFont="1">
      <alignment horizontal="left" shrinkToFit="0" vertical="center" wrapText="0"/>
    </xf>
    <xf borderId="1" fillId="2" fontId="3" numFmtId="0" xfId="0" applyAlignment="1" applyBorder="1" applyFill="1" applyFont="1">
      <alignment horizontal="left" shrinkToFit="0" vertical="center" wrapText="0"/>
    </xf>
    <xf borderId="1" fillId="5" fontId="5" numFmtId="0" xfId="0" applyAlignment="1" applyBorder="1" applyFill="1" applyFont="1">
      <alignment horizontal="left" shrinkToFit="0" vertical="center" wrapText="1"/>
    </xf>
    <xf borderId="1" fillId="4" fontId="5" numFmtId="164" xfId="0" applyAlignment="1" applyBorder="1" applyFill="1" applyFont="1" applyNumberFormat="1">
      <alignment horizontal="center" shrinkToFit="0" vertical="center" wrapText="0"/>
    </xf>
    <xf borderId="1" fillId="4" fontId="3" numFmtId="0" xfId="0" applyAlignment="1" applyBorder="1" applyFill="1" applyFont="1">
      <alignment horizontal="left" shrinkToFit="0" vertical="center" wrapText="1"/>
    </xf>
    <xf borderId="1" fillId="6" fontId="3" numFmtId="0" xfId="0" applyAlignment="1" applyBorder="1" applyFill="1" applyFont="1">
      <alignment horizontal="left" shrinkToFit="0" vertical="center" wrapText="0"/>
    </xf>
    <xf borderId="1" fillId="6" fontId="5" numFmtId="0" xfId="0" applyAlignment="1" applyBorder="1" applyFill="1" applyFont="1">
      <alignment horizontal="left" shrinkToFit="0" vertical="center" wrapText="0"/>
    </xf>
    <xf borderId="1" fillId="4" fontId="6" numFmtId="0" xfId="0" applyAlignment="1" applyBorder="1" applyFill="1" applyFont="1">
      <alignment horizontal="left" shrinkToFit="0" vertical="center" wrapText="1"/>
    </xf>
    <xf borderId="2" fillId="6" fontId="5" numFmtId="0" xfId="0" applyAlignment="1" applyBorder="1" applyFill="1" applyFont="1">
      <alignment horizontal="left" shrinkToFit="0" vertical="center" wrapText="1"/>
    </xf>
    <xf borderId="1" fillId="0" fontId="7" numFmtId="0" xfId="0" applyAlignment="1" applyBorder="1" applyFont="1">
      <alignment horizontal="left" shrinkToFit="0" vertical="center" wrapText="0"/>
    </xf>
    <xf borderId="3" fillId="0" fontId="8" numFmtId="0" xfId="0" applyBorder="1" applyFont="1"/>
    <xf borderId="1" fillId="5" fontId="3" numFmtId="0" xfId="0" applyAlignment="1" applyBorder="1" applyFill="1" applyFont="1">
      <alignment horizontal="left" shrinkToFit="0" vertical="center" wrapText="1"/>
    </xf>
    <xf borderId="4" fillId="0" fontId="8" numFmtId="0" xfId="0" applyBorder="1" applyFont="1"/>
    <xf borderId="1" fillId="4" fontId="9" numFmtId="165" xfId="0" applyAlignment="1" applyBorder="1" applyFill="1" applyFont="1" applyNumberFormat="1">
      <alignment horizontal="center" shrinkToFit="0" vertical="center" wrapText="0"/>
    </xf>
    <xf borderId="1" fillId="0" fontId="10" numFmtId="0" xfId="0" applyAlignment="1" applyBorder="1" applyFont="1">
      <alignment horizontal="left" shrinkToFit="0" vertical="center" wrapText="0"/>
    </xf>
    <xf borderId="1" fillId="4" fontId="5" numFmtId="0" xfId="0" applyAlignment="1" applyBorder="1" applyFill="1" applyFont="1">
      <alignment horizontal="center" shrinkToFit="0" vertical="center" wrapText="0"/>
    </xf>
    <xf borderId="1" fillId="5" fontId="6" numFmtId="0" xfId="0" applyAlignment="1" applyBorder="1" applyFill="1" applyFont="1">
      <alignment horizontal="left" shrinkToFit="0" vertical="center" wrapText="1"/>
    </xf>
    <xf borderId="1" fillId="5" fontId="5" numFmtId="164" xfId="0" applyAlignment="1" applyBorder="1" applyFill="1" applyFont="1" applyNumberFormat="1">
      <alignment horizontal="center" shrinkToFit="0" vertical="center" wrapText="0"/>
    </xf>
    <xf borderId="1" fillId="5" fontId="9" numFmtId="165" xfId="0" applyAlignment="1" applyBorder="1" applyFill="1" applyFont="1" applyNumberFormat="1">
      <alignment horizontal="center" shrinkToFit="0" vertical="center" wrapText="0"/>
    </xf>
    <xf borderId="1" fillId="5" fontId="5" numFmtId="0" xfId="0" applyAlignment="1" applyBorder="1" applyFill="1" applyFont="1">
      <alignment horizontal="center" shrinkToFit="0" vertical="center" wrapText="0"/>
    </xf>
    <xf borderId="1" fillId="6" fontId="3" numFmtId="0" xfId="0" applyAlignment="1" applyBorder="1" applyFill="1" applyFont="1">
      <alignment horizontal="left" shrinkToFit="0" vertical="center" wrapText="1"/>
    </xf>
    <xf borderId="1" fillId="6" fontId="5" numFmtId="0" xfId="0" applyAlignment="1" applyBorder="1" applyFill="1" applyFont="1">
      <alignment horizontal="left" shrinkToFit="0" vertical="center" wrapText="1"/>
    </xf>
    <xf borderId="1" fillId="6" fontId="6" numFmtId="0" xfId="0" applyAlignment="1" applyBorder="1" applyFill="1" applyFont="1">
      <alignment horizontal="left" shrinkToFit="0" vertical="center" wrapText="1"/>
    </xf>
    <xf borderId="1" fillId="7" fontId="4" numFmtId="0" xfId="0" applyAlignment="1" applyBorder="1" applyFill="1" applyFont="1">
      <alignment horizontal="left" shrinkToFit="0" vertical="center" wrapText="0"/>
    </xf>
    <xf borderId="1" fillId="7" fontId="11" numFmtId="0" xfId="0" applyAlignment="1" applyBorder="1" applyFill="1" applyFont="1">
      <alignment horizontal="left" shrinkToFit="0" vertical="center" wrapText="1"/>
    </xf>
    <xf borderId="1" fillId="7" fontId="12" numFmtId="0" xfId="0" applyAlignment="1" applyBorder="1" applyFill="1" applyFont="1">
      <alignment horizontal="left" shrinkToFit="0" vertical="center" wrapText="0"/>
    </xf>
    <xf borderId="2" fillId="0" fontId="5" numFmtId="0" xfId="0" applyAlignment="1" applyBorder="1" applyFont="1">
      <alignment horizontal="left" shrinkToFit="0" vertical="center" wrapText="1"/>
    </xf>
    <xf borderId="1" fillId="8" fontId="3" numFmtId="0" xfId="0" applyAlignment="1" applyBorder="1" applyFill="1" applyFont="1">
      <alignment horizontal="left" shrinkToFit="0" vertical="center" wrapText="0"/>
    </xf>
    <xf borderId="1" fillId="4" fontId="3" numFmtId="0" xfId="0" applyAlignment="1" applyBorder="1" applyFill="1" applyFont="1">
      <alignment horizontal="center" shrinkToFit="0" vertical="center" wrapText="0"/>
    </xf>
    <xf borderId="1" fillId="4" fontId="13" numFmtId="0" xfId="0" applyAlignment="1" applyBorder="1" applyFill="1" applyFont="1">
      <alignment horizontal="center" shrinkToFit="0" vertical="center" wrapText="0"/>
    </xf>
    <xf borderId="5" fillId="0" fontId="8" numFmtId="0" xfId="0" applyBorder="1" applyFont="1"/>
    <xf borderId="1" fillId="5" fontId="3" numFmtId="0" xfId="0" applyAlignment="1" applyBorder="1" applyFill="1" applyFont="1">
      <alignment horizontal="left" shrinkToFit="0" vertical="center" wrapText="0"/>
    </xf>
    <xf borderId="1" fillId="6" fontId="14" numFmtId="164" xfId="0" applyAlignment="1" applyBorder="1" applyFill="1" applyFont="1" applyNumberFormat="1">
      <alignment horizontal="center" shrinkToFit="0" vertical="center" wrapText="0"/>
    </xf>
    <xf borderId="1" fillId="6" fontId="14" numFmtId="3" xfId="0" applyAlignment="1" applyBorder="1" applyFill="1" applyFont="1" applyNumberFormat="1">
      <alignment horizontal="center" shrinkToFit="0" vertical="center" wrapText="0"/>
    </xf>
    <xf borderId="1" fillId="4" fontId="3" numFmtId="0" xfId="0" applyAlignment="1" applyBorder="1" applyFill="1" applyFont="1">
      <alignment horizontal="left" shrinkToFit="0" vertical="center" wrapText="0"/>
    </xf>
    <xf borderId="1" fillId="3" fontId="4" numFmtId="0" xfId="0" applyAlignment="1" applyBorder="1" applyFill="1" applyFont="1">
      <alignment horizontal="left" shrinkToFit="0" vertical="center" wrapText="0"/>
    </xf>
    <xf borderId="1" fillId="3" fontId="4" numFmtId="0" xfId="0" applyAlignment="1" applyBorder="1" applyFill="1" applyFont="1">
      <alignment horizontal="center" shrinkToFit="0" vertical="center" wrapText="0"/>
    </xf>
    <xf borderId="1" fillId="0" fontId="5" numFmtId="0" xfId="0" applyAlignment="1" applyBorder="1" applyFont="1">
      <alignment horizontal="left" shrinkToFit="0" vertical="center" wrapText="0"/>
    </xf>
    <xf borderId="1" fillId="0" fontId="9" numFmtId="166" xfId="0" applyAlignment="1" applyBorder="1" applyFont="1" applyNumberFormat="1">
      <alignment horizontal="center" shrinkToFit="0" vertical="center" wrapText="0"/>
    </xf>
    <xf borderId="1" fillId="0" fontId="9" numFmtId="164" xfId="0" applyAlignment="1" applyBorder="1" applyFont="1" applyNumberFormat="1">
      <alignment horizontal="center" shrinkToFit="0" vertical="center" wrapText="0"/>
    </xf>
    <xf borderId="1" fillId="5" fontId="5" numFmtId="0" xfId="0" applyAlignment="1" applyBorder="1" applyFill="1" applyFont="1">
      <alignment horizontal="left" shrinkToFit="0" vertical="center" wrapText="0"/>
    </xf>
    <xf borderId="1" fillId="6" fontId="14" numFmtId="1" xfId="0" applyAlignment="1" applyBorder="1" applyFill="1" applyFont="1" applyNumberFormat="1">
      <alignment horizontal="center" shrinkToFit="0" vertical="center" wrapText="0"/>
    </xf>
    <xf borderId="1" fillId="5" fontId="9" numFmtId="167" xfId="0" applyAlignment="1" applyBorder="1" applyFill="1" applyFont="1" applyNumberFormat="1">
      <alignment horizontal="center" shrinkToFit="0" vertical="center" wrapText="0"/>
    </xf>
    <xf borderId="1" fillId="4" fontId="5" numFmtId="0" xfId="0" applyAlignment="1" applyBorder="1" applyFill="1" applyFont="1">
      <alignment horizontal="left" shrinkToFit="0" vertical="center" wrapText="0"/>
    </xf>
    <xf borderId="1" fillId="4" fontId="9" numFmtId="167" xfId="0" applyAlignment="1" applyBorder="1" applyFill="1" applyFont="1" applyNumberFormat="1">
      <alignment horizontal="center" shrinkToFit="0" vertical="center" wrapText="0"/>
    </xf>
    <xf borderId="1" fillId="2" fontId="5" numFmtId="0" xfId="0" applyAlignment="1" applyBorder="1" applyFill="1" applyFont="1">
      <alignment horizontal="left" shrinkToFit="0" vertical="center" wrapText="0"/>
    </xf>
    <xf borderId="1" fillId="2" fontId="3" numFmtId="0" xfId="0" applyAlignment="1" applyBorder="1" applyFill="1" applyFont="1">
      <alignment horizontal="center" shrinkToFit="0" vertical="center" wrapText="0"/>
    </xf>
    <xf borderId="1" fillId="2" fontId="5" numFmtId="0" xfId="0" applyAlignment="1" applyBorder="1" applyFill="1" applyFont="1">
      <alignment horizontal="left" shrinkToFit="0" vertical="center" wrapText="1"/>
    </xf>
    <xf borderId="1" fillId="5" fontId="9" numFmtId="164" xfId="0" applyAlignment="1" applyBorder="1" applyFill="1" applyFont="1" applyNumberFormat="1">
      <alignment horizontal="center" shrinkToFit="0" vertical="center" wrapText="0"/>
    </xf>
    <xf borderId="1" fillId="4" fontId="9" numFmtId="164" xfId="0" applyAlignment="1" applyBorder="1" applyFill="1" applyFont="1" applyNumberFormat="1">
      <alignment horizontal="center" shrinkToFit="0" vertical="center" wrapText="0"/>
    </xf>
    <xf borderId="1" fillId="3" fontId="5" numFmtId="0" xfId="0" applyAlignment="1" applyBorder="1" applyFill="1" applyFont="1">
      <alignment horizontal="left" shrinkToFit="0" vertical="center" wrapText="0"/>
    </xf>
    <xf borderId="1" fillId="6" fontId="14" numFmtId="1" xfId="0" applyAlignment="1" applyBorder="1" applyFill="1" applyFont="1" applyNumberFormat="1">
      <alignment horizontal="center" readingOrder="0" shrinkToFit="0" vertical="center" wrapText="0"/>
    </xf>
    <xf borderId="1" fillId="6" fontId="14" numFmtId="2" xfId="0" applyAlignment="1" applyBorder="1" applyFill="1" applyFont="1" applyNumberFormat="1">
      <alignment horizontal="center" shrinkToFit="0" vertical="center" wrapText="0"/>
    </xf>
    <xf borderId="1" fillId="6" fontId="14" numFmtId="167" xfId="0" applyAlignment="1" applyBorder="1" applyFill="1" applyFont="1" applyNumberFormat="1">
      <alignment horizontal="center" shrinkToFit="0" vertical="center" wrapText="0"/>
    </xf>
    <xf borderId="1" fillId="6" fontId="14" numFmtId="166" xfId="0" applyAlignment="1" applyBorder="1" applyFill="1" applyFont="1" applyNumberFormat="1">
      <alignment horizontal="center" shrinkToFit="0" vertical="center" wrapText="0"/>
    </xf>
    <xf borderId="1" fillId="6" fontId="14" numFmtId="9" xfId="0" applyAlignment="1" applyBorder="1" applyFill="1" applyFont="1" applyNumberFormat="1">
      <alignment horizontal="center" shrinkToFit="0" vertical="center" wrapText="0"/>
    </xf>
    <xf borderId="1" fillId="6" fontId="14" numFmtId="168" xfId="0" applyAlignment="1" applyBorder="1" applyFill="1" applyFont="1" applyNumberFormat="1">
      <alignment horizontal="center" shrinkToFit="0" vertical="center" wrapText="0"/>
    </xf>
    <xf borderId="1" fillId="4" fontId="15" numFmtId="0" xfId="0" applyAlignment="1" applyBorder="1" applyFill="1" applyFont="1">
      <alignment horizontal="center" shrinkToFit="0" vertical="center" wrapText="0"/>
    </xf>
    <xf borderId="1" fillId="0" fontId="5" numFmtId="0" xfId="0" applyAlignment="1" applyBorder="1" applyFont="1">
      <alignment horizontal="center" shrinkToFit="0" vertical="center" wrapText="0"/>
    </xf>
    <xf borderId="1" fillId="5" fontId="15" numFmtId="0" xfId="0" applyAlignment="1" applyBorder="1" applyFill="1" applyFont="1">
      <alignment horizontal="center" shrinkToFit="0" vertical="center" wrapText="0"/>
    </xf>
    <xf borderId="1" fillId="6" fontId="14" numFmtId="0" xfId="0" applyAlignment="1" applyBorder="1" applyFill="1" applyFont="1">
      <alignment horizontal="center" shrinkToFit="0" vertical="center" wrapText="0"/>
    </xf>
    <xf borderId="1" fillId="0" fontId="9" numFmtId="168" xfId="0" applyAlignment="1" applyBorder="1" applyFont="1" applyNumberFormat="1">
      <alignment horizontal="center" shrinkToFit="0" vertical="center" wrapText="0"/>
    </xf>
    <xf borderId="1" fillId="0" fontId="9" numFmtId="9" xfId="0" applyAlignment="1" applyBorder="1" applyFont="1" applyNumberFormat="1">
      <alignment horizontal="center" shrinkToFit="0" vertical="center" wrapText="0"/>
    </xf>
    <xf borderId="1" fillId="0" fontId="5" numFmtId="3" xfId="0" applyAlignment="1" applyBorder="1" applyFont="1" applyNumberFormat="1">
      <alignment horizontal="center" shrinkToFit="0" vertical="center" wrapText="0"/>
    </xf>
    <xf borderId="1" fillId="0" fontId="5" numFmtId="164" xfId="0" applyAlignment="1" applyBorder="1" applyFont="1" applyNumberFormat="1">
      <alignment horizontal="center" shrinkToFit="0" vertical="center" wrapText="0"/>
    </xf>
    <xf borderId="1" fillId="6" fontId="14" numFmtId="3" xfId="0" applyAlignment="1" applyBorder="1" applyFill="1" applyFont="1" applyNumberFormat="1">
      <alignment horizontal="center" readingOrder="0" shrinkToFit="0" vertical="center" wrapText="0"/>
    </xf>
    <xf borderId="1" fillId="2" fontId="3" numFmtId="164" xfId="0" applyAlignment="1" applyBorder="1" applyFill="1" applyFont="1" applyNumberFormat="1">
      <alignment horizontal="center" shrinkToFit="0" vertical="center" wrapText="0"/>
    </xf>
    <xf borderId="1" fillId="0" fontId="3" numFmtId="164" xfId="0" applyAlignment="1" applyBorder="1" applyFont="1" applyNumberFormat="1">
      <alignment horizontal="center" shrinkToFit="0" vertical="center" wrapText="0"/>
    </xf>
    <xf borderId="1" fillId="7" fontId="5" numFmtId="0" xfId="0" applyAlignment="1" applyBorder="1" applyFill="1" applyFont="1">
      <alignment horizontal="left" shrinkToFit="0" vertical="center" wrapText="0"/>
    </xf>
    <xf borderId="1" fillId="7" fontId="4" numFmtId="0" xfId="0" applyAlignment="1" applyBorder="1" applyFill="1" applyFont="1">
      <alignment horizontal="center" shrinkToFit="0" vertical="center" wrapText="0"/>
    </xf>
    <xf borderId="1" fillId="6" fontId="3" numFmtId="164" xfId="0" applyAlignment="1" applyBorder="1" applyFill="1" applyFont="1" applyNumberFormat="1">
      <alignment horizontal="center" shrinkToFit="0" vertical="center" wrapText="0"/>
    </xf>
    <xf borderId="1" fillId="0" fontId="9" numFmtId="165" xfId="0" applyAlignment="1" applyBorder="1" applyFont="1" applyNumberFormat="1">
      <alignment horizontal="center"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
    <col customWidth="1" min="2" max="2" width="26.0"/>
    <col customWidth="1" min="3" max="3" width="152.71"/>
    <col customWidth="1" min="4" max="26" width="8.71"/>
  </cols>
  <sheetData>
    <row r="1">
      <c r="A1" s="1" t="s">
        <v>0</v>
      </c>
    </row>
    <row r="2" ht="43.5" customHeight="1">
      <c r="A2" s="2" t="s">
        <v>3</v>
      </c>
    </row>
    <row r="4">
      <c r="B4" s="3" t="s">
        <v>6</v>
      </c>
      <c r="C4" s="5" t="s">
        <v>8</v>
      </c>
    </row>
    <row r="5">
      <c r="B5" s="3" t="s">
        <v>12</v>
      </c>
      <c r="C5" s="5" t="s">
        <v>15</v>
      </c>
    </row>
    <row r="6">
      <c r="B6" s="3" t="s">
        <v>17</v>
      </c>
      <c r="C6" s="5" t="s">
        <v>19</v>
      </c>
    </row>
    <row r="8">
      <c r="B8" s="4" t="s">
        <v>25</v>
      </c>
      <c r="C8" s="4" t="s">
        <v>28</v>
      </c>
    </row>
    <row r="9">
      <c r="B9" s="7" t="s">
        <v>34</v>
      </c>
      <c r="C9" s="5" t="s">
        <v>38</v>
      </c>
    </row>
    <row r="10">
      <c r="B10" s="7" t="s">
        <v>39</v>
      </c>
      <c r="C10" s="5" t="s">
        <v>40</v>
      </c>
    </row>
    <row r="11">
      <c r="B11" s="7" t="s">
        <v>41</v>
      </c>
      <c r="C11" s="5" t="s">
        <v>42</v>
      </c>
    </row>
    <row r="12">
      <c r="B12" s="7" t="s">
        <v>43</v>
      </c>
      <c r="C12" s="5" t="s">
        <v>45</v>
      </c>
    </row>
    <row r="13">
      <c r="B13" s="7" t="s">
        <v>48</v>
      </c>
      <c r="C13" s="5" t="s">
        <v>51</v>
      </c>
    </row>
    <row r="14">
      <c r="B14" s="7" t="s">
        <v>55</v>
      </c>
      <c r="C14" s="5" t="s">
        <v>58</v>
      </c>
    </row>
    <row r="15">
      <c r="B15" s="7" t="s">
        <v>60</v>
      </c>
      <c r="C15" s="5" t="s">
        <v>61</v>
      </c>
    </row>
    <row r="16">
      <c r="B16" s="7" t="s">
        <v>64</v>
      </c>
      <c r="C16" s="5" t="s">
        <v>66</v>
      </c>
    </row>
    <row r="18">
      <c r="B18" s="12" t="s">
        <v>69</v>
      </c>
      <c r="C18" s="13"/>
    </row>
    <row r="19">
      <c r="B19" s="16" t="s">
        <v>76</v>
      </c>
      <c r="C19" s="5" t="s">
        <v>78</v>
      </c>
    </row>
    <row r="20">
      <c r="B20" s="7" t="s">
        <v>79</v>
      </c>
      <c r="C20" s="5" t="s">
        <v>80</v>
      </c>
    </row>
    <row r="21" ht="15.75" customHeight="1">
      <c r="B21" s="21" t="s">
        <v>81</v>
      </c>
      <c r="C21" s="5" t="s">
        <v>86</v>
      </c>
    </row>
    <row r="22" ht="15.75" customHeight="1">
      <c r="B22" s="12" t="s">
        <v>88</v>
      </c>
      <c r="C22" s="5" t="s">
        <v>90</v>
      </c>
    </row>
    <row r="23" ht="15.75" customHeight="1"/>
    <row r="24">
      <c r="B24" s="7" t="s">
        <v>92</v>
      </c>
      <c r="C24" s="5" t="s">
        <v>93</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C2"/>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
    <col customWidth="1" min="2" max="2" width="22.0"/>
    <col customWidth="1" min="3" max="4" width="13.0"/>
    <col customWidth="1" min="5" max="5" width="11.0"/>
    <col customWidth="1" min="6" max="6" width="10.0"/>
    <col customWidth="1" min="7" max="7" width="12.0"/>
    <col customWidth="1" min="8" max="8" width="14.43"/>
    <col customWidth="1" min="9" max="9" width="11.0"/>
    <col customWidth="1" min="10" max="10" width="10.0"/>
    <col customWidth="1" min="11" max="11" width="13.86"/>
    <col customWidth="1" min="12" max="12" width="69.29"/>
    <col customWidth="1" min="13" max="26" width="8.71"/>
  </cols>
  <sheetData>
    <row r="1">
      <c r="A1" s="1" t="s">
        <v>2</v>
      </c>
    </row>
    <row r="2">
      <c r="A2" s="2" t="s">
        <v>4</v>
      </c>
    </row>
    <row r="4">
      <c r="B4" s="4" t="s">
        <v>7</v>
      </c>
      <c r="C4" s="4" t="s">
        <v>13</v>
      </c>
      <c r="D4" s="4" t="s">
        <v>16</v>
      </c>
      <c r="E4" s="4" t="s">
        <v>18</v>
      </c>
      <c r="F4" s="4" t="s">
        <v>20</v>
      </c>
      <c r="G4" s="4" t="s">
        <v>22</v>
      </c>
      <c r="H4" s="4" t="s">
        <v>24</v>
      </c>
      <c r="I4" s="4" t="s">
        <v>26</v>
      </c>
      <c r="J4" s="4" t="s">
        <v>29</v>
      </c>
      <c r="K4" s="4" t="s">
        <v>31</v>
      </c>
      <c r="L4" s="4" t="s">
        <v>32</v>
      </c>
    </row>
    <row r="5">
      <c r="B5" s="8" t="s">
        <v>36</v>
      </c>
      <c r="C5" s="10">
        <v>0.0</v>
      </c>
      <c r="D5" s="20">
        <f>IF(C5=0,0,C5*Accelerators!C5*Accelerators!C6)</f>
        <v>0</v>
      </c>
      <c r="E5" s="22" t="s">
        <v>85</v>
      </c>
      <c r="F5" s="22" t="s">
        <v>89</v>
      </c>
      <c r="G5" s="22" t="s">
        <v>91</v>
      </c>
      <c r="H5" s="22" t="s">
        <v>85</v>
      </c>
      <c r="I5" s="22" t="s">
        <v>89</v>
      </c>
      <c r="J5" s="22" t="s">
        <v>89</v>
      </c>
      <c r="K5" s="22" t="s">
        <v>85</v>
      </c>
      <c r="L5" s="6" t="s">
        <v>94</v>
      </c>
    </row>
    <row r="6">
      <c r="B6" s="8" t="s">
        <v>97</v>
      </c>
      <c r="C6" s="24">
        <v>99.0</v>
      </c>
      <c r="D6" s="25">
        <f>IF(C6=0,0,C6*Accelerators!C5*Accelerators!C6)</f>
        <v>4276.8</v>
      </c>
      <c r="E6" s="26" t="s">
        <v>85</v>
      </c>
      <c r="F6" s="26" t="s">
        <v>89</v>
      </c>
      <c r="G6" s="26" t="s">
        <v>121</v>
      </c>
      <c r="H6" s="26" t="s">
        <v>122</v>
      </c>
      <c r="I6" s="26" t="s">
        <v>123</v>
      </c>
      <c r="J6" s="26" t="s">
        <v>89</v>
      </c>
      <c r="K6" s="26" t="s">
        <v>85</v>
      </c>
      <c r="L6" s="9" t="s">
        <v>124</v>
      </c>
    </row>
    <row r="7">
      <c r="B7" s="8" t="s">
        <v>33</v>
      </c>
      <c r="C7" s="10">
        <v>499.0</v>
      </c>
      <c r="D7" s="20">
        <f>IF(C7=0,0,C7*Accelerators!C5*Accelerators!C6)</f>
        <v>21556.8</v>
      </c>
      <c r="E7" s="22" t="s">
        <v>131</v>
      </c>
      <c r="F7" s="22" t="s">
        <v>122</v>
      </c>
      <c r="G7" s="22" t="s">
        <v>132</v>
      </c>
      <c r="H7" s="22" t="s">
        <v>133</v>
      </c>
      <c r="I7" s="22" t="s">
        <v>133</v>
      </c>
      <c r="J7" s="22" t="s">
        <v>131</v>
      </c>
      <c r="K7" s="22" t="s">
        <v>85</v>
      </c>
      <c r="L7" s="6" t="s">
        <v>134</v>
      </c>
    </row>
    <row r="8">
      <c r="B8" s="8" t="s">
        <v>50</v>
      </c>
      <c r="C8" s="24">
        <v>1999.0</v>
      </c>
      <c r="D8" s="25">
        <f>IF(C8=0,0,C8*Accelerators!C5*Accelerators!C6)</f>
        <v>86356.8</v>
      </c>
      <c r="E8" s="26" t="s">
        <v>122</v>
      </c>
      <c r="F8" s="26" t="s">
        <v>141</v>
      </c>
      <c r="G8" s="26" t="s">
        <v>142</v>
      </c>
      <c r="H8" s="26" t="s">
        <v>143</v>
      </c>
      <c r="I8" s="26" t="s">
        <v>141</v>
      </c>
      <c r="J8" s="26" t="s">
        <v>144</v>
      </c>
      <c r="K8" s="26" t="s">
        <v>123</v>
      </c>
      <c r="L8" s="9" t="s">
        <v>145</v>
      </c>
    </row>
    <row r="9">
      <c r="B9" s="34" t="s">
        <v>62</v>
      </c>
      <c r="C9" s="35" t="s">
        <v>146</v>
      </c>
      <c r="D9" s="36" t="s">
        <v>147</v>
      </c>
      <c r="E9" s="22" t="s">
        <v>148</v>
      </c>
      <c r="F9" s="22" t="s">
        <v>149</v>
      </c>
      <c r="G9" s="22" t="s">
        <v>150</v>
      </c>
      <c r="H9" s="22" t="s">
        <v>151</v>
      </c>
      <c r="I9" s="22" t="s">
        <v>149</v>
      </c>
      <c r="J9" s="22" t="s">
        <v>143</v>
      </c>
      <c r="K9" s="22" t="s">
        <v>133</v>
      </c>
      <c r="L9" s="6" t="s">
        <v>152</v>
      </c>
    </row>
    <row r="11" ht="30.0" customHeight="1">
      <c r="B11" s="7" t="s">
        <v>153</v>
      </c>
      <c r="C11" s="33" t="s">
        <v>154</v>
      </c>
      <c r="D11" s="17"/>
      <c r="E11" s="17"/>
      <c r="F11" s="17"/>
      <c r="G11" s="17"/>
      <c r="H11" s="17"/>
      <c r="I11" s="17"/>
      <c r="J11" s="17"/>
      <c r="K11" s="17"/>
      <c r="L11" s="37"/>
    </row>
    <row r="13">
      <c r="B13" s="12" t="s">
        <v>155</v>
      </c>
      <c r="C13" s="13"/>
      <c r="D13" s="13"/>
      <c r="E13" s="13"/>
      <c r="F13" s="13"/>
      <c r="G13" s="13"/>
      <c r="H13" s="13"/>
      <c r="I13" s="13"/>
      <c r="J13" s="13"/>
    </row>
    <row r="14" ht="30.0" customHeight="1">
      <c r="B14" s="4" t="s">
        <v>7</v>
      </c>
      <c r="C14" s="4" t="s">
        <v>156</v>
      </c>
      <c r="D14" s="4" t="s">
        <v>157</v>
      </c>
      <c r="E14" s="4" t="s">
        <v>158</v>
      </c>
      <c r="F14" s="4" t="s">
        <v>159</v>
      </c>
      <c r="G14" s="4" t="s">
        <v>160</v>
      </c>
      <c r="H14" s="4" t="s">
        <v>161</v>
      </c>
      <c r="I14" s="4" t="s">
        <v>162</v>
      </c>
      <c r="J14" s="4" t="s">
        <v>163</v>
      </c>
    </row>
    <row r="15">
      <c r="B15" s="38" t="s">
        <v>36</v>
      </c>
      <c r="C15" s="39">
        <v>0.0</v>
      </c>
      <c r="D15" s="40">
        <v>1.0</v>
      </c>
      <c r="E15" s="40">
        <v>0.0</v>
      </c>
      <c r="F15" s="40">
        <v>500.0</v>
      </c>
      <c r="G15" s="40">
        <v>1.0</v>
      </c>
      <c r="H15" s="40">
        <v>0.0</v>
      </c>
      <c r="I15" s="40">
        <v>0.0</v>
      </c>
      <c r="J15" s="40">
        <v>1.0</v>
      </c>
    </row>
    <row r="16">
      <c r="B16" s="41" t="s">
        <v>97</v>
      </c>
      <c r="C16" s="39">
        <v>99.0</v>
      </c>
      <c r="D16" s="40">
        <v>1.0</v>
      </c>
      <c r="E16" s="40">
        <v>0.0</v>
      </c>
      <c r="F16" s="40">
        <v>3000.0</v>
      </c>
      <c r="G16" s="40">
        <v>5.0</v>
      </c>
      <c r="H16" s="40">
        <v>3.0</v>
      </c>
      <c r="I16" s="40">
        <v>0.0</v>
      </c>
      <c r="J16" s="40">
        <v>1.0</v>
      </c>
    </row>
    <row r="17">
      <c r="B17" s="38" t="s">
        <v>33</v>
      </c>
      <c r="C17" s="39">
        <v>499.0</v>
      </c>
      <c r="D17" s="40">
        <v>2.0</v>
      </c>
      <c r="E17" s="40">
        <v>5.0</v>
      </c>
      <c r="F17" s="40">
        <v>15000.0</v>
      </c>
      <c r="G17" s="40">
        <v>10.0</v>
      </c>
      <c r="H17" s="40">
        <v>10.0</v>
      </c>
      <c r="I17" s="40">
        <v>2.0</v>
      </c>
      <c r="J17" s="40">
        <v>1.0</v>
      </c>
    </row>
    <row r="18">
      <c r="B18" s="41" t="s">
        <v>50</v>
      </c>
      <c r="C18" s="39">
        <v>1999.0</v>
      </c>
      <c r="D18" s="40">
        <v>5.0</v>
      </c>
      <c r="E18" s="40">
        <v>25.0</v>
      </c>
      <c r="F18" s="40">
        <v>60000.0</v>
      </c>
      <c r="G18" s="40">
        <v>20.0</v>
      </c>
      <c r="H18" s="40">
        <v>25.0</v>
      </c>
      <c r="I18" s="40">
        <v>6.0</v>
      </c>
      <c r="J18" s="40">
        <v>3.0</v>
      </c>
    </row>
    <row r="19">
      <c r="B19" s="38" t="s">
        <v>62</v>
      </c>
      <c r="C19" s="39">
        <v>8500.0</v>
      </c>
      <c r="D19" s="40">
        <v>15.0</v>
      </c>
      <c r="E19" s="40">
        <v>100.0</v>
      </c>
      <c r="F19" s="40">
        <v>400000.0</v>
      </c>
      <c r="G19" s="40">
        <v>1000000.0</v>
      </c>
      <c r="H19" s="40">
        <v>100.0</v>
      </c>
      <c r="I19" s="40">
        <v>20.0</v>
      </c>
      <c r="J19" s="40">
        <v>10.0</v>
      </c>
    </row>
    <row r="21" ht="30.0" customHeight="1">
      <c r="B21" s="7" t="s">
        <v>92</v>
      </c>
      <c r="C21" s="33" t="s">
        <v>164</v>
      </c>
      <c r="D21" s="17"/>
      <c r="E21" s="17"/>
      <c r="F21" s="17"/>
      <c r="G21" s="17"/>
      <c r="H21" s="17"/>
      <c r="I21" s="17"/>
      <c r="J21" s="17"/>
      <c r="K21" s="17"/>
      <c r="L21" s="17"/>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L2"/>
    <mergeCell ref="C11:L11"/>
    <mergeCell ref="C21:L21"/>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
    <col customWidth="1" min="2" max="2" width="16.0"/>
    <col customWidth="1" min="3" max="3" width="60.71"/>
    <col customWidth="1" min="4" max="4" width="54.0"/>
    <col customWidth="1" min="5" max="5" width="63.14"/>
    <col customWidth="1" min="6" max="26" width="8.71"/>
  </cols>
  <sheetData>
    <row r="1">
      <c r="A1" s="1" t="s">
        <v>1</v>
      </c>
    </row>
    <row r="2">
      <c r="A2" s="2" t="s">
        <v>5</v>
      </c>
    </row>
    <row r="4">
      <c r="B4" s="4" t="s">
        <v>7</v>
      </c>
      <c r="C4" s="4" t="s">
        <v>9</v>
      </c>
      <c r="D4" s="4" t="s">
        <v>10</v>
      </c>
      <c r="E4" s="4" t="s">
        <v>11</v>
      </c>
    </row>
    <row r="5">
      <c r="B5" s="3" t="s">
        <v>14</v>
      </c>
      <c r="C5" s="6" t="s">
        <v>21</v>
      </c>
      <c r="D5" s="6" t="s">
        <v>27</v>
      </c>
      <c r="E5" s="6" t="s">
        <v>30</v>
      </c>
    </row>
    <row r="6">
      <c r="B6" s="3" t="s">
        <v>33</v>
      </c>
      <c r="C6" s="9" t="s">
        <v>37</v>
      </c>
      <c r="D6" s="9" t="s">
        <v>46</v>
      </c>
      <c r="E6" s="9" t="s">
        <v>47</v>
      </c>
    </row>
    <row r="7">
      <c r="B7" s="3" t="s">
        <v>50</v>
      </c>
      <c r="C7" s="6" t="s">
        <v>53</v>
      </c>
      <c r="D7" s="6" t="s">
        <v>56</v>
      </c>
      <c r="E7" s="6" t="s">
        <v>59</v>
      </c>
    </row>
    <row r="8">
      <c r="B8" s="3" t="s">
        <v>62</v>
      </c>
      <c r="C8" s="9" t="s">
        <v>65</v>
      </c>
      <c r="D8" s="9" t="s">
        <v>67</v>
      </c>
      <c r="E8" s="9" t="s">
        <v>68</v>
      </c>
    </row>
    <row r="10">
      <c r="B10" s="12" t="s">
        <v>70</v>
      </c>
      <c r="C10" s="15" t="s">
        <v>74</v>
      </c>
      <c r="D10" s="17"/>
      <c r="E10" s="1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E2"/>
    <mergeCell ref="C10:E10"/>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
    <col customWidth="1" min="2" max="2" width="26.71"/>
    <col customWidth="1" min="3" max="3" width="30.14"/>
    <col customWidth="1" min="4" max="4" width="40.71"/>
    <col customWidth="1" min="5" max="6" width="30.0"/>
    <col customWidth="1" min="7" max="26" width="8.71"/>
  </cols>
  <sheetData>
    <row r="1">
      <c r="A1" s="1" t="s">
        <v>23</v>
      </c>
    </row>
    <row r="2">
      <c r="A2" s="2" t="s">
        <v>35</v>
      </c>
    </row>
    <row r="4" ht="25.5" customHeight="1">
      <c r="B4" s="4" t="s">
        <v>44</v>
      </c>
      <c r="C4" s="4" t="s">
        <v>49</v>
      </c>
      <c r="D4" s="4" t="s">
        <v>52</v>
      </c>
      <c r="E4" s="4" t="s">
        <v>54</v>
      </c>
      <c r="F4" s="4" t="s">
        <v>57</v>
      </c>
    </row>
    <row r="5" ht="57.75" customHeight="1">
      <c r="B5" s="11" t="s">
        <v>63</v>
      </c>
      <c r="C5" s="6" t="s">
        <v>71</v>
      </c>
      <c r="D5" s="6" t="s">
        <v>72</v>
      </c>
      <c r="E5" s="6" t="s">
        <v>73</v>
      </c>
      <c r="F5" s="14" t="s">
        <v>75</v>
      </c>
    </row>
    <row r="6" ht="57.75" customHeight="1">
      <c r="B6" s="18" t="s">
        <v>77</v>
      </c>
      <c r="C6" s="9" t="s">
        <v>82</v>
      </c>
      <c r="D6" s="9" t="s">
        <v>83</v>
      </c>
      <c r="E6" s="9" t="s">
        <v>84</v>
      </c>
      <c r="F6" s="23" t="s">
        <v>87</v>
      </c>
    </row>
    <row r="7" ht="57.75" customHeight="1">
      <c r="B7" s="11" t="s">
        <v>95</v>
      </c>
      <c r="C7" s="6" t="s">
        <v>96</v>
      </c>
      <c r="D7" s="6" t="s">
        <v>98</v>
      </c>
      <c r="E7" s="6" t="s">
        <v>99</v>
      </c>
      <c r="F7" s="14" t="s">
        <v>100</v>
      </c>
    </row>
    <row r="8" ht="57.75" customHeight="1">
      <c r="B8" s="18" t="s">
        <v>101</v>
      </c>
      <c r="C8" s="9" t="s">
        <v>102</v>
      </c>
      <c r="D8" s="9" t="s">
        <v>103</v>
      </c>
      <c r="E8" s="9" t="s">
        <v>104</v>
      </c>
      <c r="F8" s="23" t="s">
        <v>105</v>
      </c>
    </row>
    <row r="9" ht="57.75" customHeight="1">
      <c r="B9" s="11" t="s">
        <v>106</v>
      </c>
      <c r="C9" s="6" t="s">
        <v>107</v>
      </c>
      <c r="D9" s="6" t="s">
        <v>108</v>
      </c>
      <c r="E9" s="6" t="s">
        <v>109</v>
      </c>
      <c r="F9" s="14" t="s">
        <v>110</v>
      </c>
    </row>
    <row r="10" ht="57.75" customHeight="1">
      <c r="B10" s="18" t="s">
        <v>111</v>
      </c>
      <c r="C10" s="9" t="s">
        <v>112</v>
      </c>
      <c r="D10" s="9" t="s">
        <v>113</v>
      </c>
      <c r="E10" s="9" t="s">
        <v>114</v>
      </c>
      <c r="F10" s="23" t="s">
        <v>115</v>
      </c>
    </row>
    <row r="11" ht="57.75" customHeight="1">
      <c r="B11" s="11" t="s">
        <v>116</v>
      </c>
      <c r="C11" s="6" t="s">
        <v>117</v>
      </c>
      <c r="D11" s="6" t="s">
        <v>118</v>
      </c>
      <c r="E11" s="6" t="s">
        <v>119</v>
      </c>
      <c r="F11" s="14" t="s">
        <v>120</v>
      </c>
    </row>
    <row r="12" ht="57.75" customHeight="1">
      <c r="B12" s="27" t="s">
        <v>125</v>
      </c>
      <c r="C12" s="28" t="s">
        <v>126</v>
      </c>
      <c r="D12" s="28" t="s">
        <v>127</v>
      </c>
      <c r="E12" s="28" t="s">
        <v>128</v>
      </c>
      <c r="F12" s="29" t="s">
        <v>129</v>
      </c>
    </row>
    <row r="13" ht="43.5" customHeight="1">
      <c r="B13" s="30" t="s">
        <v>130</v>
      </c>
      <c r="C13" s="31" t="s">
        <v>135</v>
      </c>
      <c r="D13" s="31" t="s">
        <v>136</v>
      </c>
      <c r="E13" s="31" t="s">
        <v>137</v>
      </c>
      <c r="F13" s="32" t="s">
        <v>138</v>
      </c>
    </row>
    <row r="15" ht="43.5" customHeight="1">
      <c r="B15" s="7" t="s">
        <v>139</v>
      </c>
      <c r="C15" s="33" t="s">
        <v>140</v>
      </c>
      <c r="D15" s="17"/>
      <c r="E15" s="17"/>
      <c r="F15" s="1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C15:F15"/>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
    <col customWidth="1" min="2" max="2" width="38.0"/>
    <col customWidth="1" min="3" max="4" width="14.0"/>
    <col customWidth="1" min="5" max="5" width="48.0"/>
    <col customWidth="1" min="6" max="26" width="8.71"/>
  </cols>
  <sheetData>
    <row r="1">
      <c r="A1" s="1" t="s">
        <v>165</v>
      </c>
    </row>
    <row r="2">
      <c r="A2" s="2" t="s">
        <v>166</v>
      </c>
    </row>
    <row r="4">
      <c r="B4" s="42" t="s">
        <v>167</v>
      </c>
      <c r="C4" s="43" t="s">
        <v>168</v>
      </c>
      <c r="D4" s="43" t="s">
        <v>169</v>
      </c>
      <c r="E4" s="42" t="s">
        <v>170</v>
      </c>
    </row>
    <row r="5">
      <c r="B5" s="44" t="s">
        <v>171</v>
      </c>
      <c r="C5" s="45">
        <f>Accelerators!C7</f>
        <v>0.01</v>
      </c>
      <c r="D5" s="46">
        <f>Accelerators!C7*1000</f>
        <v>10</v>
      </c>
      <c r="E5" s="5" t="s">
        <v>175</v>
      </c>
    </row>
    <row r="6">
      <c r="B6" s="44" t="s">
        <v>176</v>
      </c>
      <c r="C6" s="45">
        <f>Accelerators!C8</f>
        <v>0.007</v>
      </c>
      <c r="D6" s="46">
        <f>Accelerators!C8*1000</f>
        <v>7</v>
      </c>
      <c r="E6" s="5" t="s">
        <v>180</v>
      </c>
    </row>
    <row r="7">
      <c r="B7" s="44" t="s">
        <v>182</v>
      </c>
      <c r="C7" s="45">
        <f>Accelerators!C9</f>
        <v>0.005</v>
      </c>
      <c r="D7" s="46">
        <f>Accelerators!C9*1000</f>
        <v>5</v>
      </c>
      <c r="E7" s="5" t="s">
        <v>186</v>
      </c>
    </row>
    <row r="9">
      <c r="B9" s="42" t="s">
        <v>188</v>
      </c>
      <c r="C9" s="43" t="s">
        <v>43</v>
      </c>
      <c r="D9" s="43" t="s">
        <v>189</v>
      </c>
      <c r="E9" s="42" t="s">
        <v>191</v>
      </c>
    </row>
    <row r="10" ht="24.0" customHeight="1">
      <c r="B10" s="47" t="s">
        <v>193</v>
      </c>
      <c r="C10" s="48">
        <v>1.0</v>
      </c>
      <c r="D10" s="49">
        <f>C10*Accelerators!C7</f>
        <v>0.01</v>
      </c>
      <c r="E10" s="9" t="s">
        <v>213</v>
      </c>
    </row>
    <row r="11" ht="24.0" customHeight="1">
      <c r="B11" s="50" t="s">
        <v>217</v>
      </c>
      <c r="C11" s="48">
        <v>2.0</v>
      </c>
      <c r="D11" s="51">
        <f>C11*Accelerators!C7</f>
        <v>0.02</v>
      </c>
      <c r="E11" s="6" t="s">
        <v>223</v>
      </c>
    </row>
    <row r="12" ht="24.0" customHeight="1">
      <c r="B12" s="47" t="s">
        <v>224</v>
      </c>
      <c r="C12" s="48">
        <v>3.0</v>
      </c>
      <c r="D12" s="49">
        <f>C12*Accelerators!C7</f>
        <v>0.03</v>
      </c>
      <c r="E12" s="9" t="s">
        <v>225</v>
      </c>
    </row>
    <row r="13" ht="24.0" customHeight="1">
      <c r="B13" s="50" t="s">
        <v>226</v>
      </c>
      <c r="C13" s="48">
        <v>4.0</v>
      </c>
      <c r="D13" s="51">
        <f>C13*Accelerators!C7</f>
        <v>0.04</v>
      </c>
      <c r="E13" s="6" t="s">
        <v>228</v>
      </c>
    </row>
    <row r="14" ht="24.0" customHeight="1">
      <c r="B14" s="47" t="s">
        <v>229</v>
      </c>
      <c r="C14" s="48">
        <v>3.0</v>
      </c>
      <c r="D14" s="49">
        <f>C14*Accelerators!C7</f>
        <v>0.03</v>
      </c>
      <c r="E14" s="9" t="s">
        <v>231</v>
      </c>
    </row>
    <row r="15" ht="24.0" customHeight="1">
      <c r="B15" s="50" t="s">
        <v>233</v>
      </c>
      <c r="C15" s="48">
        <v>25.0</v>
      </c>
      <c r="D15" s="51">
        <f>C15*Accelerators!C7</f>
        <v>0.25</v>
      </c>
      <c r="E15" s="6" t="s">
        <v>237</v>
      </c>
    </row>
    <row r="16" ht="24.0" customHeight="1">
      <c r="B16" s="47" t="s">
        <v>238</v>
      </c>
      <c r="C16" s="48">
        <v>3.0</v>
      </c>
      <c r="D16" s="49">
        <f>C16*Accelerators!C7</f>
        <v>0.03</v>
      </c>
      <c r="E16" s="9" t="s">
        <v>239</v>
      </c>
    </row>
    <row r="17" ht="24.0" customHeight="1">
      <c r="B17" s="50" t="s">
        <v>240</v>
      </c>
      <c r="C17" s="48">
        <v>2.0</v>
      </c>
      <c r="D17" s="51">
        <f>C17*Accelerators!C7</f>
        <v>0.02</v>
      </c>
      <c r="E17" s="6" t="s">
        <v>243</v>
      </c>
    </row>
    <row r="18" ht="24.0" customHeight="1">
      <c r="B18" s="47" t="s">
        <v>245</v>
      </c>
      <c r="C18" s="48">
        <v>1.0</v>
      </c>
      <c r="D18" s="49">
        <f>C18*Accelerators!C7</f>
        <v>0.01</v>
      </c>
      <c r="E18" s="9" t="s">
        <v>246</v>
      </c>
    </row>
    <row r="19" ht="24.0" customHeight="1">
      <c r="B19" s="50" t="s">
        <v>247</v>
      </c>
      <c r="C19" s="48">
        <v>5.0</v>
      </c>
      <c r="D19" s="51">
        <f>C19*Accelerators!C7</f>
        <v>0.05</v>
      </c>
      <c r="E19" s="6" t="s">
        <v>251</v>
      </c>
    </row>
    <row r="20" ht="24.0" customHeight="1">
      <c r="B20" s="47" t="s">
        <v>252</v>
      </c>
      <c r="C20" s="48">
        <v>20.0</v>
      </c>
      <c r="D20" s="49">
        <f>C20*Accelerators!C7</f>
        <v>0.2</v>
      </c>
      <c r="E20" s="9" t="s">
        <v>256</v>
      </c>
    </row>
    <row r="21" ht="24.0" customHeight="1">
      <c r="B21" s="50" t="s">
        <v>259</v>
      </c>
      <c r="C21" s="48">
        <v>40.0</v>
      </c>
      <c r="D21" s="51">
        <f>C21*Accelerators!C7</f>
        <v>0.4</v>
      </c>
      <c r="E21" s="6" t="s">
        <v>261</v>
      </c>
    </row>
    <row r="22" ht="24.0" customHeight="1">
      <c r="B22" s="47" t="s">
        <v>264</v>
      </c>
      <c r="C22" s="48">
        <v>60.0</v>
      </c>
      <c r="D22" s="49">
        <f>C22*Accelerators!C7</f>
        <v>0.6</v>
      </c>
      <c r="E22" s="9" t="s">
        <v>267</v>
      </c>
    </row>
    <row r="23" ht="24.0" customHeight="1">
      <c r="B23" s="50" t="s">
        <v>269</v>
      </c>
      <c r="C23" s="48">
        <v>250.0</v>
      </c>
      <c r="D23" s="51">
        <f>C23*Accelerators!C7</f>
        <v>2.5</v>
      </c>
      <c r="E23" s="6" t="s">
        <v>272</v>
      </c>
    </row>
    <row r="24" ht="24.0" customHeight="1">
      <c r="B24" s="47" t="s">
        <v>273</v>
      </c>
      <c r="C24" s="48">
        <v>200.0</v>
      </c>
      <c r="D24" s="49">
        <f>C24*Accelerators!C7</f>
        <v>2</v>
      </c>
      <c r="E24" s="9" t="s">
        <v>276</v>
      </c>
    </row>
    <row r="25" ht="24.0" customHeight="1">
      <c r="B25" s="50" t="s">
        <v>277</v>
      </c>
      <c r="C25" s="48">
        <v>300.0</v>
      </c>
      <c r="D25" s="51">
        <f>C25*Accelerators!C7</f>
        <v>3</v>
      </c>
      <c r="E25" s="6" t="s">
        <v>278</v>
      </c>
    </row>
    <row r="26" ht="24.0" customHeight="1">
      <c r="B26" s="47" t="s">
        <v>279</v>
      </c>
      <c r="C26" s="48">
        <v>30.0</v>
      </c>
      <c r="D26" s="49">
        <f>C26*Accelerators!C7</f>
        <v>0.3</v>
      </c>
      <c r="E26" s="9" t="s">
        <v>280</v>
      </c>
    </row>
    <row r="27" ht="24.0" customHeight="1">
      <c r="B27" s="50" t="s">
        <v>281</v>
      </c>
      <c r="C27" s="48">
        <v>15.0</v>
      </c>
      <c r="D27" s="51">
        <f>C27*Accelerators!C7</f>
        <v>0.15</v>
      </c>
      <c r="E27" s="6" t="s">
        <v>282</v>
      </c>
    </row>
    <row r="28" ht="24.0" customHeight="1">
      <c r="B28" s="47" t="s">
        <v>283</v>
      </c>
      <c r="C28" s="48">
        <v>50.0</v>
      </c>
      <c r="D28" s="49">
        <f>C28*Accelerators!C7</f>
        <v>0.5</v>
      </c>
      <c r="E28" s="9" t="s">
        <v>284</v>
      </c>
    </row>
    <row r="29" ht="15.75" customHeight="1"/>
    <row r="30" ht="48.0" customHeight="1">
      <c r="B30" s="12" t="s">
        <v>285</v>
      </c>
      <c r="C30" s="15" t="s">
        <v>286</v>
      </c>
      <c r="D30" s="17"/>
      <c r="E30" s="19"/>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E2"/>
    <mergeCell ref="C30:E30"/>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
    <col customWidth="1" min="2" max="2" width="22.0"/>
    <col customWidth="1" min="3" max="3" width="42.0"/>
    <col customWidth="1" min="4" max="4" width="16.0"/>
    <col customWidth="1" min="5" max="5" width="40.0"/>
    <col customWidth="1" min="6" max="26" width="8.71"/>
  </cols>
  <sheetData>
    <row r="1">
      <c r="A1" s="1" t="s">
        <v>172</v>
      </c>
    </row>
    <row r="2">
      <c r="A2" s="2" t="s">
        <v>173</v>
      </c>
    </row>
    <row r="4">
      <c r="B4" s="42" t="s">
        <v>174</v>
      </c>
      <c r="C4" s="42" t="s">
        <v>177</v>
      </c>
      <c r="D4" s="43" t="s">
        <v>178</v>
      </c>
      <c r="E4" s="42" t="s">
        <v>179</v>
      </c>
    </row>
    <row r="5" ht="30.0" customHeight="1">
      <c r="B5" s="38" t="s">
        <v>181</v>
      </c>
      <c r="C5" s="9" t="s">
        <v>183</v>
      </c>
      <c r="D5" s="26">
        <v>4.0</v>
      </c>
      <c r="E5" s="9" t="s">
        <v>184</v>
      </c>
    </row>
    <row r="6" ht="30.0" customHeight="1">
      <c r="B6" s="41" t="s">
        <v>185</v>
      </c>
      <c r="C6" s="6" t="s">
        <v>187</v>
      </c>
      <c r="D6" s="22">
        <v>3.0</v>
      </c>
      <c r="E6" s="6" t="s">
        <v>190</v>
      </c>
    </row>
    <row r="7" ht="30.0" customHeight="1">
      <c r="B7" s="38" t="s">
        <v>192</v>
      </c>
      <c r="C7" s="9" t="s">
        <v>194</v>
      </c>
      <c r="D7" s="26">
        <v>5.0</v>
      </c>
      <c r="E7" s="9" t="s">
        <v>195</v>
      </c>
    </row>
    <row r="8" ht="30.0" customHeight="1">
      <c r="B8" s="41" t="s">
        <v>196</v>
      </c>
      <c r="C8" s="6" t="s">
        <v>197</v>
      </c>
      <c r="D8" s="22">
        <v>2.0</v>
      </c>
      <c r="E8" s="6" t="s">
        <v>198</v>
      </c>
    </row>
    <row r="9" ht="30.0" customHeight="1">
      <c r="B9" s="38" t="s">
        <v>29</v>
      </c>
      <c r="C9" s="9" t="s">
        <v>199</v>
      </c>
      <c r="D9" s="26">
        <v>1.0</v>
      </c>
      <c r="E9" s="9" t="s">
        <v>200</v>
      </c>
    </row>
    <row r="10" ht="30.0" customHeight="1">
      <c r="B10" s="41" t="s">
        <v>201</v>
      </c>
      <c r="C10" s="6" t="s">
        <v>202</v>
      </c>
      <c r="D10" s="22">
        <v>3.0</v>
      </c>
      <c r="E10" s="6" t="s">
        <v>203</v>
      </c>
    </row>
    <row r="11" ht="30.0" customHeight="1">
      <c r="B11" s="38" t="s">
        <v>204</v>
      </c>
      <c r="C11" s="9" t="s">
        <v>205</v>
      </c>
      <c r="D11" s="26">
        <v>1.0</v>
      </c>
      <c r="E11" s="9" t="s">
        <v>206</v>
      </c>
    </row>
    <row r="12" ht="30.0" customHeight="1">
      <c r="B12" s="41" t="s">
        <v>207</v>
      </c>
      <c r="C12" s="6" t="s">
        <v>208</v>
      </c>
      <c r="D12" s="22">
        <v>2.0</v>
      </c>
      <c r="E12" s="6" t="s">
        <v>209</v>
      </c>
    </row>
    <row r="13" ht="30.0" customHeight="1">
      <c r="B13" s="38" t="s">
        <v>210</v>
      </c>
      <c r="C13" s="9" t="s">
        <v>211</v>
      </c>
      <c r="D13" s="26">
        <v>4.0</v>
      </c>
      <c r="E13" s="9" t="s">
        <v>212</v>
      </c>
    </row>
    <row r="14" ht="30.0" customHeight="1">
      <c r="B14" s="41" t="s">
        <v>214</v>
      </c>
      <c r="C14" s="6" t="s">
        <v>215</v>
      </c>
      <c r="D14" s="22">
        <v>3.0</v>
      </c>
      <c r="E14" s="6" t="s">
        <v>216</v>
      </c>
    </row>
    <row r="15" ht="30.0" customHeight="1">
      <c r="B15" s="38" t="s">
        <v>218</v>
      </c>
      <c r="C15" s="9" t="s">
        <v>219</v>
      </c>
      <c r="D15" s="26">
        <v>2.0</v>
      </c>
      <c r="E15" s="9" t="s">
        <v>216</v>
      </c>
    </row>
    <row r="16" ht="30.0" customHeight="1">
      <c r="B16" s="41" t="s">
        <v>220</v>
      </c>
      <c r="C16" s="6" t="s">
        <v>221</v>
      </c>
      <c r="D16" s="22">
        <v>2.0</v>
      </c>
      <c r="E16" s="6" t="s">
        <v>222</v>
      </c>
    </row>
    <row r="17">
      <c r="B17" s="8" t="s">
        <v>227</v>
      </c>
      <c r="C17" s="52"/>
      <c r="D17" s="53">
        <v>32.0</v>
      </c>
      <c r="E17" s="54" t="s">
        <v>230</v>
      </c>
    </row>
    <row r="19">
      <c r="B19" s="42" t="s">
        <v>232</v>
      </c>
      <c r="C19" s="43" t="s">
        <v>234</v>
      </c>
      <c r="D19" s="43" t="s">
        <v>235</v>
      </c>
      <c r="E19" s="42" t="s">
        <v>191</v>
      </c>
    </row>
    <row r="20" ht="27.75" customHeight="1">
      <c r="B20" s="47" t="s">
        <v>236</v>
      </c>
      <c r="C20" s="55">
        <f>Accelerators!C33</f>
        <v>25</v>
      </c>
      <c r="D20" s="26" t="s">
        <v>241</v>
      </c>
      <c r="E20" s="9" t="s">
        <v>242</v>
      </c>
    </row>
    <row r="21" ht="27.75" customHeight="1">
      <c r="B21" s="50" t="s">
        <v>244</v>
      </c>
      <c r="C21" s="56">
        <f>Accelerators!C34</f>
        <v>5</v>
      </c>
      <c r="D21" s="22" t="s">
        <v>248</v>
      </c>
      <c r="E21" s="6" t="s">
        <v>249</v>
      </c>
    </row>
    <row r="22" ht="27.75" customHeight="1">
      <c r="B22" s="47" t="s">
        <v>250</v>
      </c>
      <c r="C22" s="55">
        <f>Accelerators!C35</f>
        <v>12</v>
      </c>
      <c r="D22" s="26" t="s">
        <v>253</v>
      </c>
      <c r="E22" s="9" t="s">
        <v>254</v>
      </c>
    </row>
    <row r="23" ht="27.75" customHeight="1">
      <c r="B23" s="50" t="s">
        <v>255</v>
      </c>
      <c r="C23" s="56">
        <f>Accelerators!C36</f>
        <v>199</v>
      </c>
      <c r="D23" s="22" t="s">
        <v>257</v>
      </c>
      <c r="E23" s="6" t="s">
        <v>258</v>
      </c>
    </row>
    <row r="24" ht="27.75" customHeight="1">
      <c r="B24" s="47" t="s">
        <v>260</v>
      </c>
      <c r="C24" s="55">
        <f>Accelerators!C41</f>
        <v>40</v>
      </c>
      <c r="D24" s="26" t="s">
        <v>262</v>
      </c>
      <c r="E24" s="9" t="s">
        <v>263</v>
      </c>
    </row>
    <row r="25" ht="27.75" customHeight="1">
      <c r="B25" s="50" t="s">
        <v>265</v>
      </c>
      <c r="C25" s="56">
        <f>Accelerators!C42</f>
        <v>30</v>
      </c>
      <c r="D25" s="22" t="s">
        <v>262</v>
      </c>
      <c r="E25" s="6" t="s">
        <v>266</v>
      </c>
    </row>
    <row r="26" ht="27.75" customHeight="1">
      <c r="B26" s="47" t="s">
        <v>268</v>
      </c>
      <c r="C26" s="55">
        <f>Accelerators!C32</f>
        <v>250</v>
      </c>
      <c r="D26" s="26" t="s">
        <v>270</v>
      </c>
      <c r="E26" s="9" t="s">
        <v>271</v>
      </c>
    </row>
    <row r="27" ht="15.75" customHeight="1"/>
    <row r="28" ht="60.0" customHeight="1">
      <c r="B28" s="12" t="s">
        <v>274</v>
      </c>
      <c r="C28" s="15" t="s">
        <v>275</v>
      </c>
      <c r="D28" s="17"/>
      <c r="E28" s="19"/>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E2"/>
    <mergeCell ref="C28:E28"/>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
    <col customWidth="1" min="2" max="2" width="40.0"/>
    <col customWidth="1" min="3" max="3" width="16.0"/>
    <col customWidth="1" min="4" max="4" width="18.0"/>
    <col customWidth="1" min="5" max="5" width="52.0"/>
    <col customWidth="1" min="6" max="26" width="8.71"/>
  </cols>
  <sheetData>
    <row r="1">
      <c r="A1" s="1" t="s">
        <v>287</v>
      </c>
    </row>
    <row r="2">
      <c r="A2" s="2" t="s">
        <v>288</v>
      </c>
    </row>
    <row r="4">
      <c r="B4" s="42" t="s">
        <v>289</v>
      </c>
      <c r="C4" s="43" t="s">
        <v>290</v>
      </c>
      <c r="D4" s="57"/>
      <c r="E4" s="42" t="s">
        <v>191</v>
      </c>
    </row>
    <row r="5" ht="27.75" customHeight="1">
      <c r="B5" s="44" t="s">
        <v>291</v>
      </c>
      <c r="C5" s="58">
        <v>96.0</v>
      </c>
      <c r="D5" s="44"/>
      <c r="E5" s="5" t="s">
        <v>292</v>
      </c>
    </row>
    <row r="6" ht="27.75" customHeight="1">
      <c r="B6" s="44" t="s">
        <v>293</v>
      </c>
      <c r="C6" s="59">
        <v>0.45</v>
      </c>
      <c r="D6" s="44"/>
      <c r="E6" s="5" t="s">
        <v>294</v>
      </c>
    </row>
    <row r="7" ht="27.75" customHeight="1">
      <c r="B7" s="44" t="s">
        <v>295</v>
      </c>
      <c r="C7" s="60">
        <v>0.01</v>
      </c>
      <c r="D7" s="44"/>
      <c r="E7" s="5" t="s">
        <v>296</v>
      </c>
    </row>
    <row r="8" ht="27.75" customHeight="1">
      <c r="B8" s="44" t="s">
        <v>297</v>
      </c>
      <c r="C8" s="61">
        <v>0.007</v>
      </c>
      <c r="D8" s="44"/>
      <c r="E8" s="5" t="s">
        <v>298</v>
      </c>
    </row>
    <row r="9" ht="27.75" customHeight="1">
      <c r="B9" s="44" t="s">
        <v>299</v>
      </c>
      <c r="C9" s="61">
        <v>0.005</v>
      </c>
      <c r="D9" s="44"/>
      <c r="E9" s="5" t="s">
        <v>300</v>
      </c>
    </row>
    <row r="10" ht="27.75" customHeight="1">
      <c r="B10" s="44" t="s">
        <v>301</v>
      </c>
      <c r="C10" s="62">
        <v>0.1</v>
      </c>
      <c r="D10" s="44"/>
      <c r="E10" s="5" t="s">
        <v>302</v>
      </c>
    </row>
    <row r="12">
      <c r="B12" s="42" t="s">
        <v>303</v>
      </c>
      <c r="C12" s="43" t="s">
        <v>304</v>
      </c>
      <c r="D12" s="43" t="s">
        <v>305</v>
      </c>
      <c r="E12" s="42" t="s">
        <v>306</v>
      </c>
    </row>
    <row r="13" ht="27.75" customHeight="1">
      <c r="B13" s="44" t="s">
        <v>307</v>
      </c>
      <c r="C13" s="63">
        <v>1.0</v>
      </c>
      <c r="D13" s="39">
        <v>0.0</v>
      </c>
      <c r="E13" s="5" t="s">
        <v>308</v>
      </c>
    </row>
    <row r="14" ht="27.75" customHeight="1">
      <c r="B14" s="44" t="s">
        <v>309</v>
      </c>
      <c r="C14" s="63">
        <v>1.3</v>
      </c>
      <c r="D14" s="39">
        <v>12000.0</v>
      </c>
      <c r="E14" s="5" t="s">
        <v>310</v>
      </c>
    </row>
    <row r="15" ht="27.75" customHeight="1">
      <c r="B15" s="44" t="s">
        <v>311</v>
      </c>
      <c r="C15" s="63">
        <v>1.65</v>
      </c>
      <c r="D15" s="39">
        <v>35000.0</v>
      </c>
      <c r="E15" s="5" t="s">
        <v>312</v>
      </c>
    </row>
    <row r="17">
      <c r="B17" s="42" t="s">
        <v>313</v>
      </c>
      <c r="C17" s="43" t="s">
        <v>304</v>
      </c>
      <c r="D17" s="57"/>
      <c r="E17" s="42" t="s">
        <v>314</v>
      </c>
    </row>
    <row r="18" ht="25.5" customHeight="1">
      <c r="B18" s="44" t="s">
        <v>315</v>
      </c>
      <c r="C18" s="63">
        <v>1.0</v>
      </c>
      <c r="D18" s="44"/>
      <c r="E18" s="5" t="s">
        <v>316</v>
      </c>
    </row>
    <row r="19" ht="25.5" customHeight="1">
      <c r="B19" s="44" t="s">
        <v>317</v>
      </c>
      <c r="C19" s="63">
        <v>1.25</v>
      </c>
      <c r="D19" s="44"/>
      <c r="E19" s="5" t="s">
        <v>318</v>
      </c>
    </row>
    <row r="20" ht="25.5" customHeight="1">
      <c r="B20" s="44" t="s">
        <v>319</v>
      </c>
      <c r="C20" s="63">
        <v>1.6</v>
      </c>
      <c r="D20" s="44"/>
      <c r="E20" s="5" t="s">
        <v>320</v>
      </c>
    </row>
    <row r="21" ht="15.75" customHeight="1"/>
    <row r="22" ht="15.75" customHeight="1">
      <c r="B22" s="42" t="s">
        <v>321</v>
      </c>
      <c r="C22" s="43" t="s">
        <v>322</v>
      </c>
      <c r="D22" s="57"/>
      <c r="E22" s="42" t="s">
        <v>323</v>
      </c>
    </row>
    <row r="23" ht="15.75" customHeight="1">
      <c r="B23" s="44" t="s">
        <v>324</v>
      </c>
      <c r="C23" s="62">
        <v>0.0</v>
      </c>
      <c r="D23" s="44"/>
      <c r="E23" s="5" t="s">
        <v>325</v>
      </c>
    </row>
    <row r="24" ht="15.75" customHeight="1">
      <c r="B24" s="44" t="s">
        <v>327</v>
      </c>
      <c r="C24" s="62">
        <v>0.15</v>
      </c>
      <c r="D24" s="44"/>
      <c r="E24" s="5" t="s">
        <v>328</v>
      </c>
    </row>
    <row r="25" ht="15.75" customHeight="1">
      <c r="B25" s="44" t="s">
        <v>330</v>
      </c>
      <c r="C25" s="62">
        <v>0.22</v>
      </c>
      <c r="D25" s="44"/>
      <c r="E25" s="5" t="s">
        <v>331</v>
      </c>
    </row>
    <row r="26" ht="15.75" customHeight="1">
      <c r="B26" s="44" t="s">
        <v>333</v>
      </c>
      <c r="C26" s="62">
        <v>0.28</v>
      </c>
      <c r="D26" s="44"/>
      <c r="E26" s="5" t="s">
        <v>335</v>
      </c>
    </row>
    <row r="27" ht="15.75" customHeight="1"/>
    <row r="28" ht="15.75" customHeight="1"/>
    <row r="29" ht="15.75" customHeight="1">
      <c r="B29" s="42" t="s">
        <v>340</v>
      </c>
      <c r="C29" s="43" t="s">
        <v>234</v>
      </c>
      <c r="D29" s="43" t="s">
        <v>235</v>
      </c>
      <c r="E29" s="42" t="s">
        <v>191</v>
      </c>
    </row>
    <row r="30" ht="25.5" customHeight="1">
      <c r="B30" s="44" t="s">
        <v>342</v>
      </c>
      <c r="C30" s="39">
        <v>99.0</v>
      </c>
      <c r="D30" s="65" t="s">
        <v>344</v>
      </c>
      <c r="E30" s="5" t="s">
        <v>346</v>
      </c>
    </row>
    <row r="31" ht="25.5" customHeight="1">
      <c r="B31" s="44" t="s">
        <v>348</v>
      </c>
      <c r="C31" s="39">
        <v>15.0</v>
      </c>
      <c r="D31" s="65" t="s">
        <v>344</v>
      </c>
      <c r="E31" s="5" t="s">
        <v>349</v>
      </c>
    </row>
    <row r="32" ht="25.5" customHeight="1">
      <c r="B32" s="44" t="s">
        <v>268</v>
      </c>
      <c r="C32" s="39">
        <v>250.0</v>
      </c>
      <c r="D32" s="65" t="s">
        <v>270</v>
      </c>
      <c r="E32" s="5" t="s">
        <v>352</v>
      </c>
    </row>
    <row r="33" ht="25.5" customHeight="1">
      <c r="B33" s="44" t="s">
        <v>354</v>
      </c>
      <c r="C33" s="39">
        <v>25.0</v>
      </c>
      <c r="D33" s="65" t="s">
        <v>241</v>
      </c>
      <c r="E33" s="5" t="s">
        <v>356</v>
      </c>
    </row>
    <row r="34" ht="25.5" customHeight="1">
      <c r="B34" s="44" t="s">
        <v>244</v>
      </c>
      <c r="C34" s="39">
        <v>5.0</v>
      </c>
      <c r="D34" s="65" t="s">
        <v>248</v>
      </c>
      <c r="E34" s="5" t="s">
        <v>361</v>
      </c>
    </row>
    <row r="35" ht="25.5" customHeight="1">
      <c r="B35" s="44" t="s">
        <v>250</v>
      </c>
      <c r="C35" s="39">
        <v>12.0</v>
      </c>
      <c r="D35" s="65" t="s">
        <v>364</v>
      </c>
      <c r="E35" s="5" t="s">
        <v>365</v>
      </c>
    </row>
    <row r="36" ht="25.5" customHeight="1">
      <c r="B36" s="44" t="s">
        <v>368</v>
      </c>
      <c r="C36" s="39">
        <v>199.0</v>
      </c>
      <c r="D36" s="65" t="s">
        <v>257</v>
      </c>
      <c r="E36" s="5" t="s">
        <v>371</v>
      </c>
    </row>
    <row r="37" ht="25.5" customHeight="1">
      <c r="B37" s="44" t="s">
        <v>373</v>
      </c>
      <c r="C37" s="39">
        <v>219.0</v>
      </c>
      <c r="D37" s="65" t="s">
        <v>257</v>
      </c>
      <c r="E37" s="5" t="s">
        <v>375</v>
      </c>
    </row>
    <row r="38" ht="25.5" customHeight="1">
      <c r="B38" s="44" t="s">
        <v>378</v>
      </c>
      <c r="C38" s="39">
        <v>239.0</v>
      </c>
      <c r="D38" s="65" t="s">
        <v>257</v>
      </c>
      <c r="E38" s="5" t="s">
        <v>381</v>
      </c>
    </row>
    <row r="39" ht="25.5" customHeight="1">
      <c r="B39" s="44" t="s">
        <v>383</v>
      </c>
      <c r="C39" s="39">
        <v>79.0</v>
      </c>
      <c r="D39" s="65" t="s">
        <v>257</v>
      </c>
      <c r="E39" s="5" t="s">
        <v>386</v>
      </c>
    </row>
    <row r="40" ht="25.5" customHeight="1">
      <c r="B40" s="44" t="s">
        <v>387</v>
      </c>
      <c r="C40" s="39">
        <v>149.0</v>
      </c>
      <c r="D40" s="65" t="s">
        <v>257</v>
      </c>
      <c r="E40" s="5" t="s">
        <v>388</v>
      </c>
    </row>
    <row r="41" ht="25.5" customHeight="1">
      <c r="B41" s="44" t="s">
        <v>260</v>
      </c>
      <c r="C41" s="39">
        <v>40.0</v>
      </c>
      <c r="D41" s="65" t="s">
        <v>262</v>
      </c>
      <c r="E41" s="5" t="s">
        <v>390</v>
      </c>
    </row>
    <row r="42" ht="25.5" customHeight="1">
      <c r="B42" s="44" t="s">
        <v>265</v>
      </c>
      <c r="C42" s="39">
        <v>30.0</v>
      </c>
      <c r="D42" s="65" t="s">
        <v>262</v>
      </c>
      <c r="E42" s="5" t="s">
        <v>391</v>
      </c>
    </row>
    <row r="43" ht="15.75" customHeight="1"/>
    <row r="44" ht="39.75" customHeight="1">
      <c r="B44" s="7" t="s">
        <v>92</v>
      </c>
      <c r="C44" s="44"/>
      <c r="D44" s="44"/>
      <c r="E44" s="5" t="s">
        <v>393</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E2"/>
  </mergeCell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
    <col customWidth="1" min="2" max="2" width="41.14"/>
    <col customWidth="1" min="3" max="5" width="12.0"/>
    <col customWidth="1" min="6" max="6" width="16.0"/>
    <col customWidth="1" min="7" max="7" width="71.0"/>
    <col customWidth="1" min="8" max="26" width="8.71"/>
  </cols>
  <sheetData>
    <row r="1">
      <c r="A1" s="1" t="s">
        <v>326</v>
      </c>
    </row>
    <row r="2">
      <c r="A2" s="2" t="s">
        <v>329</v>
      </c>
    </row>
    <row r="4">
      <c r="B4" s="4" t="s">
        <v>332</v>
      </c>
      <c r="C4" s="4" t="s">
        <v>334</v>
      </c>
      <c r="D4" s="4" t="s">
        <v>336</v>
      </c>
      <c r="E4" s="4" t="s">
        <v>337</v>
      </c>
      <c r="F4" s="4" t="s">
        <v>338</v>
      </c>
      <c r="G4" s="4" t="s">
        <v>339</v>
      </c>
    </row>
    <row r="5">
      <c r="B5" s="11" t="s">
        <v>341</v>
      </c>
      <c r="C5" s="10">
        <v>2000.0</v>
      </c>
      <c r="D5" s="10">
        <v>6000.0</v>
      </c>
      <c r="E5" s="10">
        <v>12000.0</v>
      </c>
      <c r="F5" s="64" t="s">
        <v>343</v>
      </c>
      <c r="G5" s="6" t="s">
        <v>345</v>
      </c>
    </row>
    <row r="6">
      <c r="B6" s="18" t="s">
        <v>347</v>
      </c>
      <c r="C6" s="24">
        <v>1500.0</v>
      </c>
      <c r="D6" s="24">
        <v>4000.0</v>
      </c>
      <c r="E6" s="24">
        <v>10000.0</v>
      </c>
      <c r="F6" s="66" t="s">
        <v>350</v>
      </c>
      <c r="G6" s="9" t="s">
        <v>351</v>
      </c>
    </row>
    <row r="7">
      <c r="B7" s="11" t="s">
        <v>353</v>
      </c>
      <c r="C7" s="10">
        <v>500.0</v>
      </c>
      <c r="D7" s="10">
        <v>1500.0</v>
      </c>
      <c r="E7" s="10">
        <v>4000.0</v>
      </c>
      <c r="F7" s="64" t="s">
        <v>350</v>
      </c>
      <c r="G7" s="6" t="s">
        <v>355</v>
      </c>
    </row>
    <row r="8">
      <c r="B8" s="18" t="s">
        <v>357</v>
      </c>
      <c r="C8" s="24">
        <v>3000.0</v>
      </c>
      <c r="D8" s="24">
        <v>8000.0</v>
      </c>
      <c r="E8" s="24">
        <v>20000.0</v>
      </c>
      <c r="F8" s="66" t="s">
        <v>358</v>
      </c>
      <c r="G8" s="9" t="s">
        <v>359</v>
      </c>
    </row>
    <row r="9">
      <c r="B9" s="11" t="s">
        <v>360</v>
      </c>
      <c r="C9" s="10">
        <v>2500.0</v>
      </c>
      <c r="D9" s="10">
        <v>7500.0</v>
      </c>
      <c r="E9" s="10">
        <v>20000.0</v>
      </c>
      <c r="F9" s="64" t="s">
        <v>350</v>
      </c>
      <c r="G9" s="6" t="s">
        <v>362</v>
      </c>
    </row>
    <row r="10">
      <c r="B10" s="18" t="s">
        <v>363</v>
      </c>
      <c r="C10" s="24">
        <v>2000.0</v>
      </c>
      <c r="D10" s="24">
        <v>6000.0</v>
      </c>
      <c r="E10" s="24">
        <v>15000.0</v>
      </c>
      <c r="F10" s="66" t="s">
        <v>350</v>
      </c>
      <c r="G10" s="9" t="s">
        <v>366</v>
      </c>
    </row>
    <row r="11">
      <c r="B11" s="11" t="s">
        <v>367</v>
      </c>
      <c r="C11" s="10">
        <v>3000.0</v>
      </c>
      <c r="D11" s="10">
        <v>8000.0</v>
      </c>
      <c r="E11" s="10">
        <v>18000.0</v>
      </c>
      <c r="F11" s="64" t="s">
        <v>369</v>
      </c>
      <c r="G11" s="6" t="s">
        <v>370</v>
      </c>
    </row>
    <row r="12">
      <c r="B12" s="18" t="s">
        <v>372</v>
      </c>
      <c r="C12" s="26" t="s">
        <v>350</v>
      </c>
      <c r="D12" s="26" t="s">
        <v>350</v>
      </c>
      <c r="E12" s="26" t="s">
        <v>350</v>
      </c>
      <c r="F12" s="66" t="s">
        <v>374</v>
      </c>
      <c r="G12" s="9" t="s">
        <v>376</v>
      </c>
    </row>
    <row r="13">
      <c r="B13" s="11" t="s">
        <v>377</v>
      </c>
      <c r="C13" s="10">
        <v>5000.0</v>
      </c>
      <c r="D13" s="10">
        <v>15000.0</v>
      </c>
      <c r="E13" s="10">
        <v>40000.0</v>
      </c>
      <c r="F13" s="64" t="s">
        <v>379</v>
      </c>
      <c r="G13" s="6" t="s">
        <v>380</v>
      </c>
    </row>
    <row r="14">
      <c r="B14" s="18" t="s">
        <v>382</v>
      </c>
      <c r="C14" s="24">
        <v>25000.0</v>
      </c>
      <c r="D14" s="24">
        <v>60000.0</v>
      </c>
      <c r="E14" s="24">
        <v>150000.0</v>
      </c>
      <c r="F14" s="66" t="s">
        <v>384</v>
      </c>
      <c r="G14" s="9" t="s">
        <v>385</v>
      </c>
    </row>
    <row r="16">
      <c r="B16" s="7" t="s">
        <v>92</v>
      </c>
      <c r="C16" s="33" t="s">
        <v>389</v>
      </c>
      <c r="D16" s="17"/>
      <c r="E16" s="17"/>
      <c r="F16" s="17"/>
      <c r="G16" s="17"/>
    </row>
  </sheetData>
  <mergeCells count="2">
    <mergeCell ref="A2:G2"/>
    <mergeCell ref="C16:G16"/>
  </mergeCell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
    <col customWidth="1" min="2" max="2" width="40.0"/>
    <col customWidth="1" min="3" max="4" width="16.0"/>
    <col customWidth="1" min="5" max="5" width="44.0"/>
    <col customWidth="1" min="6" max="26" width="8.71"/>
  </cols>
  <sheetData>
    <row r="1">
      <c r="A1" s="1" t="s">
        <v>392</v>
      </c>
    </row>
    <row r="2" ht="30.0" customHeight="1">
      <c r="A2" s="2" t="s">
        <v>394</v>
      </c>
    </row>
    <row r="4">
      <c r="B4" s="42" t="s">
        <v>395</v>
      </c>
      <c r="C4" s="43" t="s">
        <v>396</v>
      </c>
      <c r="D4" s="57"/>
      <c r="E4" s="42" t="s">
        <v>397</v>
      </c>
    </row>
    <row r="5">
      <c r="B5" s="44" t="s">
        <v>7</v>
      </c>
      <c r="C5" s="67" t="s">
        <v>50</v>
      </c>
      <c r="E5" s="44" t="s">
        <v>398</v>
      </c>
    </row>
    <row r="6">
      <c r="B6" s="44" t="s">
        <v>399</v>
      </c>
      <c r="C6" s="67" t="s">
        <v>317</v>
      </c>
      <c r="E6" s="44" t="s">
        <v>400</v>
      </c>
    </row>
    <row r="7">
      <c r="B7" s="44" t="s">
        <v>401</v>
      </c>
      <c r="C7" s="67" t="s">
        <v>307</v>
      </c>
      <c r="E7" s="44" t="s">
        <v>402</v>
      </c>
    </row>
    <row r="8">
      <c r="B8" s="44" t="s">
        <v>403</v>
      </c>
      <c r="C8" s="67" t="s">
        <v>327</v>
      </c>
      <c r="E8" s="44" t="s">
        <v>404</v>
      </c>
    </row>
    <row r="9">
      <c r="B9" s="44" t="s">
        <v>405</v>
      </c>
      <c r="C9" s="46">
        <f t="array" ref="C9">IFERROR(INDEX(Pricing!$C$15:$C$19,MATCH(C5,Pricing!$B$15:$B$19,0)),0)</f>
        <v>1999</v>
      </c>
      <c r="E9" s="5" t="s">
        <v>406</v>
      </c>
    </row>
    <row r="10">
      <c r="B10" s="44" t="s">
        <v>407</v>
      </c>
      <c r="C10" s="68">
        <f t="array" ref="C10">IFERROR(INDEX(Accelerators!C18:C20,MATCH(C6,Accelerators!B18:B20,0)),1)</f>
        <v>1.25</v>
      </c>
      <c r="E10" s="44"/>
    </row>
    <row r="11">
      <c r="B11" s="44" t="s">
        <v>408</v>
      </c>
      <c r="C11" s="68">
        <f t="array" ref="C11">IFERROR(INDEX(Accelerators!C13:C15,MATCH(C7,Accelerators!B13:B15,0)),1)</f>
        <v>1</v>
      </c>
      <c r="E11" s="44"/>
    </row>
    <row r="12">
      <c r="B12" s="44" t="s">
        <v>409</v>
      </c>
      <c r="C12" s="46">
        <f t="array" ref="C12">IFERROR(INDEX(Accelerators!D13:D15,MATCH(C7,Accelerators!B13:B15,0)),0)</f>
        <v>0</v>
      </c>
      <c r="E12" s="44"/>
    </row>
    <row r="13">
      <c r="B13" s="44" t="s">
        <v>410</v>
      </c>
      <c r="C13" s="69">
        <f t="array" ref="C13">IFERROR(INDEX(Accelerators!C23:C26,MATCH(C8,Accelerators!B23:B26,0)),0)</f>
        <v>0.15</v>
      </c>
      <c r="E13" s="44"/>
    </row>
    <row r="15">
      <c r="B15" s="42" t="s">
        <v>411</v>
      </c>
      <c r="C15" s="43" t="s">
        <v>412</v>
      </c>
      <c r="D15" s="43" t="s">
        <v>413</v>
      </c>
      <c r="E15" s="42" t="s">
        <v>414</v>
      </c>
    </row>
    <row r="16">
      <c r="B16" s="44" t="s">
        <v>415</v>
      </c>
      <c r="C16" s="70">
        <v>1.0</v>
      </c>
      <c r="D16" s="71">
        <f>C9</f>
        <v>1999</v>
      </c>
      <c r="E16" s="5" t="s">
        <v>416</v>
      </c>
    </row>
    <row r="17">
      <c r="B17" s="44" t="s">
        <v>417</v>
      </c>
      <c r="C17" s="40">
        <v>8.0</v>
      </c>
      <c r="D17" s="71">
        <f t="array" ref="D17">MAX(0,C17-IFERROR(INDEX(Pricing!$D$15:$D$19,MATCH(C5,Pricing!$B$15:$B$19,0)),0))*Accelerators!C30</f>
        <v>297</v>
      </c>
      <c r="E17" s="5" t="s">
        <v>418</v>
      </c>
    </row>
    <row r="18">
      <c r="B18" s="44" t="s">
        <v>419</v>
      </c>
      <c r="C18" s="40">
        <v>0.0</v>
      </c>
      <c r="D18" s="71">
        <f t="array" ref="D18">MAX(0,C18-IFERROR(INDEX(Pricing!$E$15:$E$19,MATCH(C5,Pricing!$B$15:$B$19,0)),0))*Accelerators!C31</f>
        <v>0</v>
      </c>
      <c r="E18" s="5" t="s">
        <v>420</v>
      </c>
    </row>
    <row r="19">
      <c r="B19" s="44" t="s">
        <v>421</v>
      </c>
      <c r="C19" s="40">
        <v>6.0</v>
      </c>
      <c r="D19" s="71">
        <f t="array" ref="D19">MAX(0,C19-IFERROR(INDEX(Pricing!$J$15:$J$19,MATCH(C5,Pricing!$B$15:$B$19,0)),0))*Accelerators!C32</f>
        <v>750</v>
      </c>
      <c r="E19" s="5" t="s">
        <v>422</v>
      </c>
    </row>
    <row r="20">
      <c r="B20" s="44" t="s">
        <v>423</v>
      </c>
      <c r="C20" s="40">
        <v>24.0</v>
      </c>
      <c r="D20" s="71">
        <f t="array" ref="D20">MAX(0,C20-IFERROR(INDEX(Pricing!$G$15:$G$19,MATCH(C5,Pricing!$B$15:$B$19,0)),0))*Accelerators!C33</f>
        <v>100</v>
      </c>
      <c r="E20" s="5" t="s">
        <v>424</v>
      </c>
    </row>
    <row r="21" ht="15.75" customHeight="1">
      <c r="B21" s="44" t="s">
        <v>425</v>
      </c>
      <c r="C21" s="40">
        <v>60.0</v>
      </c>
      <c r="D21" s="71">
        <f t="array" ref="D21">MAX(0,C21-IFERROR(INDEX(Pricing!$H$15:$H$19,MATCH(C5,Pricing!$B$15:$B$19,0)),0))*Accelerators!C34</f>
        <v>175</v>
      </c>
      <c r="E21" s="5" t="s">
        <v>426</v>
      </c>
    </row>
    <row r="22" ht="15.75" customHeight="1">
      <c r="B22" s="44" t="s">
        <v>427</v>
      </c>
      <c r="C22" s="72">
        <v>14.0</v>
      </c>
      <c r="D22" s="71">
        <f t="array" ref="D22">MAX(0,C22-IFERROR(INDEX(Pricing!$I$15:$I$19,MATCH(C5,Pricing!$B$15:$B$19,0)),0))*Accelerators!C36</f>
        <v>1592</v>
      </c>
      <c r="E22" s="5" t="s">
        <v>428</v>
      </c>
    </row>
    <row r="23" ht="15.75" customHeight="1">
      <c r="B23" s="44" t="s">
        <v>429</v>
      </c>
      <c r="C23" s="40">
        <v>1.0</v>
      </c>
      <c r="D23" s="71">
        <f>C23*Accelerators!C41</f>
        <v>40</v>
      </c>
      <c r="E23" s="5" t="s">
        <v>430</v>
      </c>
    </row>
    <row r="24" ht="15.75" customHeight="1">
      <c r="B24" s="44" t="s">
        <v>431</v>
      </c>
      <c r="C24" s="40">
        <v>1.0</v>
      </c>
      <c r="D24" s="71">
        <f>C24*Accelerators!C42</f>
        <v>30</v>
      </c>
      <c r="E24" s="5" t="s">
        <v>432</v>
      </c>
    </row>
    <row r="25" ht="15.75" customHeight="1">
      <c r="B25" s="44" t="s">
        <v>433</v>
      </c>
      <c r="C25" s="40">
        <v>200000.0</v>
      </c>
      <c r="D25" s="71">
        <f t="array" ref="D25">MAX(0,C25-IFERROR(INDEX(Pricing!$F$15:$F$19,MATCH(C5,Pricing!$B$15:$B$19,0)),0))*Accelerators!C7</f>
        <v>1400</v>
      </c>
      <c r="E25" s="5" t="s">
        <v>434</v>
      </c>
    </row>
    <row r="26" ht="21.75" customHeight="1">
      <c r="B26" s="8" t="s">
        <v>435</v>
      </c>
      <c r="C26" s="52"/>
      <c r="D26" s="73">
        <f>SUM(D16:D25)</f>
        <v>6383</v>
      </c>
      <c r="E26" s="54" t="s">
        <v>436</v>
      </c>
    </row>
    <row r="27" ht="21.75" customHeight="1">
      <c r="B27" s="7" t="s">
        <v>437</v>
      </c>
      <c r="C27" s="44"/>
      <c r="D27" s="74">
        <f>D26*C10*C11*(1-C13)</f>
        <v>6781.9375</v>
      </c>
      <c r="E27" s="5" t="s">
        <v>438</v>
      </c>
    </row>
    <row r="28" ht="15.75" customHeight="1"/>
    <row r="29" ht="15.75" customHeight="1">
      <c r="B29" s="42" t="s">
        <v>439</v>
      </c>
      <c r="C29" s="43" t="s">
        <v>440</v>
      </c>
      <c r="D29" s="43" t="s">
        <v>413</v>
      </c>
      <c r="E29" s="42" t="s">
        <v>441</v>
      </c>
    </row>
    <row r="30" ht="15.75" customHeight="1">
      <c r="B30" s="44" t="s">
        <v>442</v>
      </c>
      <c r="C30" s="39">
        <v>150.0</v>
      </c>
      <c r="D30" s="71">
        <f>C30*(1+Accelerators!C10)</f>
        <v>165</v>
      </c>
      <c r="E30" s="5" t="s">
        <v>443</v>
      </c>
    </row>
    <row r="31" ht="15.75" customHeight="1">
      <c r="B31" s="44" t="s">
        <v>444</v>
      </c>
      <c r="C31" s="39">
        <v>200.0</v>
      </c>
      <c r="D31" s="71">
        <f>C31*(1+Accelerators!C10)</f>
        <v>220</v>
      </c>
      <c r="E31" s="5" t="s">
        <v>445</v>
      </c>
    </row>
    <row r="32" ht="15.75" customHeight="1">
      <c r="B32" s="44" t="s">
        <v>446</v>
      </c>
      <c r="C32" s="39">
        <v>400.0</v>
      </c>
      <c r="D32" s="71">
        <f>C32*(1+Accelerators!C10)</f>
        <v>440</v>
      </c>
      <c r="E32" s="5" t="s">
        <v>447</v>
      </c>
    </row>
    <row r="33" ht="15.75" customHeight="1">
      <c r="B33" s="44" t="s">
        <v>448</v>
      </c>
      <c r="C33" s="39">
        <v>0.0</v>
      </c>
      <c r="D33" s="71">
        <f>C33*(1+Accelerators!C10)</f>
        <v>0</v>
      </c>
      <c r="E33" s="5" t="s">
        <v>449</v>
      </c>
    </row>
    <row r="34" ht="21.75" customHeight="1">
      <c r="B34" s="8" t="s">
        <v>450</v>
      </c>
      <c r="C34" s="52"/>
      <c r="D34" s="73">
        <f>SUM(D30:D33)</f>
        <v>825</v>
      </c>
      <c r="E34" s="54" t="s">
        <v>451</v>
      </c>
    </row>
    <row r="35" ht="15.75" customHeight="1"/>
    <row r="36" ht="15.75" customHeight="1">
      <c r="B36" s="42" t="s">
        <v>452</v>
      </c>
      <c r="C36" s="57"/>
      <c r="D36" s="43" t="s">
        <v>453</v>
      </c>
      <c r="E36" s="42" t="s">
        <v>454</v>
      </c>
    </row>
    <row r="37" ht="15.75" customHeight="1">
      <c r="B37" s="44" t="s">
        <v>455</v>
      </c>
      <c r="C37" s="44"/>
      <c r="D37" s="39">
        <v>6000.0</v>
      </c>
      <c r="E37" s="5" t="s">
        <v>456</v>
      </c>
    </row>
    <row r="38" ht="15.75" customHeight="1">
      <c r="B38" s="44" t="s">
        <v>457</v>
      </c>
      <c r="C38" s="44"/>
      <c r="D38" s="39">
        <v>4000.0</v>
      </c>
      <c r="E38" s="5" t="s">
        <v>458</v>
      </c>
    </row>
    <row r="39" ht="15.75" customHeight="1">
      <c r="B39" s="44" t="s">
        <v>459</v>
      </c>
      <c r="C39" s="44"/>
      <c r="D39" s="39">
        <v>4000.0</v>
      </c>
      <c r="E39" s="5" t="s">
        <v>460</v>
      </c>
    </row>
    <row r="40" ht="15.75" customHeight="1">
      <c r="B40" s="44" t="s">
        <v>461</v>
      </c>
      <c r="C40" s="44"/>
      <c r="D40" s="39">
        <v>8000.0</v>
      </c>
      <c r="E40" s="5" t="s">
        <v>462</v>
      </c>
    </row>
    <row r="41" ht="15.75" customHeight="1">
      <c r="B41" s="44" t="s">
        <v>463</v>
      </c>
      <c r="C41" s="44"/>
      <c r="D41" s="39">
        <v>6000.0</v>
      </c>
      <c r="E41" s="5" t="s">
        <v>464</v>
      </c>
    </row>
    <row r="42" ht="15.75" customHeight="1">
      <c r="B42" s="44" t="s">
        <v>465</v>
      </c>
      <c r="C42" s="44"/>
      <c r="D42" s="39">
        <v>3000.0</v>
      </c>
      <c r="E42" s="5" t="s">
        <v>466</v>
      </c>
    </row>
    <row r="43" ht="15.75" customHeight="1">
      <c r="B43" s="44" t="s">
        <v>467</v>
      </c>
      <c r="C43" s="44"/>
      <c r="D43" s="39">
        <v>15000.0</v>
      </c>
      <c r="E43" s="5" t="s">
        <v>468</v>
      </c>
    </row>
    <row r="44" ht="15.75" customHeight="1">
      <c r="B44" s="44" t="s">
        <v>469</v>
      </c>
      <c r="C44" s="44"/>
      <c r="D44" s="71">
        <f>C12</f>
        <v>0</v>
      </c>
      <c r="E44" s="5" t="s">
        <v>470</v>
      </c>
    </row>
    <row r="45" ht="21.75" customHeight="1">
      <c r="B45" s="8" t="s">
        <v>471</v>
      </c>
      <c r="C45" s="52"/>
      <c r="D45" s="73">
        <f>SUM(D37:D44)</f>
        <v>46000</v>
      </c>
      <c r="E45" s="52"/>
    </row>
    <row r="46" ht="15.75" customHeight="1"/>
    <row r="47" ht="15.75" customHeight="1">
      <c r="B47" s="30" t="s">
        <v>472</v>
      </c>
      <c r="C47" s="75"/>
      <c r="D47" s="76" t="s">
        <v>473</v>
      </c>
      <c r="E47" s="75"/>
    </row>
    <row r="48" ht="21.75" customHeight="1">
      <c r="B48" s="7" t="s">
        <v>474</v>
      </c>
      <c r="C48" s="44"/>
      <c r="D48" s="74">
        <f>D27+D34</f>
        <v>7606.9375</v>
      </c>
      <c r="E48" s="5" t="s">
        <v>475</v>
      </c>
    </row>
    <row r="49" ht="21.75" customHeight="1">
      <c r="B49" s="7" t="s">
        <v>476</v>
      </c>
      <c r="C49" s="44"/>
      <c r="D49" s="74">
        <f>D48*12</f>
        <v>91283.25</v>
      </c>
      <c r="E49" s="44"/>
    </row>
    <row r="50" ht="21.75" customHeight="1">
      <c r="B50" s="12" t="s">
        <v>477</v>
      </c>
      <c r="C50" s="13"/>
      <c r="D50" s="77">
        <f>D49+D45</f>
        <v>137283.25</v>
      </c>
      <c r="E50" s="28" t="s">
        <v>478</v>
      </c>
    </row>
    <row r="51" ht="15.75" customHeight="1">
      <c r="B51" s="44" t="s">
        <v>479</v>
      </c>
      <c r="C51" s="44"/>
      <c r="D51" s="78">
        <f>D50*Accelerators!C5*Accelerators!C6</f>
        <v>5930636.4</v>
      </c>
      <c r="E51" s="5" t="s">
        <v>480</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E2"/>
  </mergeCells>
  <dataValidations>
    <dataValidation type="list" allowBlank="1" sqref="C8">
      <formula1>"Monthly,Annual,2-year,3-year"</formula1>
    </dataValidation>
    <dataValidation type="list" allowBlank="1" sqref="C6">
      <formula1>"Self-serve,Assisted (co-pilot),Fully-managed (done-for-you)"</formula1>
    </dataValidation>
    <dataValidation type="list" allowBlank="1" sqref="C7">
      <formula1>"SaaS (default),Private / BYOC,On-prem / self-hosted"</formula1>
    </dataValidation>
    <dataValidation type="list" allowBlank="1" sqref="C5">
      <formula1>"Free,Startup,Growth,Scale,Enterprise"</formula1>
    </dataValidation>
  </dataValidation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2026-09-21T11:56:25Z</dcterms:created>
  <dc:creator>openpyxl</dc:creator>
</cp:coreProperties>
</file>

<file path=docProps/custom.xml><?xml version="1.0" encoding="utf-8"?>
<Properties xmlns="http://schemas.openxmlformats.org/officeDocument/2006/custom-properties" xmlns:vt="http://schemas.openxmlformats.org/officeDocument/2006/docPropsVTypes"/>
</file>