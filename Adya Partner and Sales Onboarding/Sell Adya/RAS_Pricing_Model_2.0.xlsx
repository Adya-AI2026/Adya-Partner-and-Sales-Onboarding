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Pricing" sheetId="2" r:id="rId5"/>
    <sheet state="visible" name="Segments" sheetId="3" r:id="rId6"/>
    <sheet state="visible" name="Benchmark" sheetId="4" r:id="rId7"/>
    <sheet state="visible" name="Credits" sheetId="5" r:id="rId8"/>
    <sheet state="visible" name="Accelerators" sheetId="6" r:id="rId9"/>
    <sheet state="visible" name="Customization" sheetId="7" r:id="rId10"/>
    <sheet state="visible" name="QuoteBuilder" sheetId="8" r:id="rId11"/>
  </sheets>
  <definedNames/>
  <calcPr/>
  <extLst>
    <ext uri="GoogleSheetsCustomDataVersion2">
      <go:sheetsCustomData xmlns:go="http://customooxmlschemas.google.com/" r:id="rId12" roundtripDataChecksum="RupkTY3gQi8eyluOqalr2TQus8s3SxQZyp9rcTpOcrA="/>
    </ext>
  </extLst>
</workbook>
</file>

<file path=xl/sharedStrings.xml><?xml version="1.0" encoding="utf-8"?>
<sst xmlns="http://schemas.openxmlformats.org/spreadsheetml/2006/main" count="347" uniqueCount="300">
  <si>
    <t>Adya RAS  |  Pricing Model 2.0</t>
  </si>
  <si>
    <t>How to read and use this workbook. Every blue number is an input you can edit. Black numbers are formulas that recalculate off the inputs.</t>
  </si>
  <si>
    <t>What this replaces</t>
  </si>
  <si>
    <t>The old file priced every tier as one flat seat price (roughly $149 per seat) multiplied by headcount, with a small volume discount. That leaves enterprise money on the table, overcharges small teams, and has no way to price customization or to grow an account. This model fixes all of that.</t>
  </si>
  <si>
    <t>The five-layer stack</t>
  </si>
  <si>
    <t>Every RAS deal is built from five layers: (1) a Platform base fee by tier, (2) Seats split into Builder and Viewer, (3) RAS Credits for usage, (4) a Governance and Deployment premium, and (5) Customization and Services delivered through the AI ELT. The tabs below hold each layer.</t>
  </si>
  <si>
    <t>Tab</t>
  </si>
  <si>
    <t>What it holds</t>
  </si>
  <si>
    <t>Pricing</t>
  </si>
  <si>
    <t>List pricing for all four tiers: Individual, Team, Business, Enterprise. Global ($) and India (₹) columns.</t>
  </si>
  <si>
    <t>Segments</t>
  </si>
  <si>
    <t>Who each tier is for (ICP and buyer personas), what they pay today, and willingness to pay. This justifies the numbers.</t>
  </si>
  <si>
    <t>Benchmark</t>
  </si>
  <si>
    <t>How RAS pricing compares to Claude Science, Glean, Snowflake, Databricks, AlphaSense and Hebbia. Sourced, dated.</t>
  </si>
  <si>
    <t>Credits</t>
  </si>
  <si>
    <t>What one RAS Credit is and how each action draws it down. This is the elastic usage meter.</t>
  </si>
  <si>
    <t>Accelerators</t>
  </si>
  <si>
    <t>The rate card that makes price grow with the account: seats, workspaces, variables, integrations, documents, ontologies, models, credit packs.</t>
  </si>
  <si>
    <t>Customization</t>
  </si>
  <si>
    <t>The services rate card for the AI ELT work: integrations, localizations, deployment, LLM change and fine-tune, workflows, ontologies, data onboarding. One-time plus recurring.</t>
  </si>
  <si>
    <t>QuoteBuilder</t>
  </si>
  <si>
    <t>A live calculator. Pick a tier, a deployment, seats, credits and any customization, and it returns one-time cost, annual recurring, and Year-1 ACV. Prefilled with a worked mid-market example.</t>
  </si>
  <si>
    <t>Colour legend</t>
  </si>
  <si>
    <t>Blue text</t>
  </si>
  <si>
    <t>An input. Change it and the model updates.</t>
  </si>
  <si>
    <t>Black text</t>
  </si>
  <si>
    <t>A formula. Do not overwrite; it derives from inputs.</t>
  </si>
  <si>
    <t>Green text</t>
  </si>
  <si>
    <t>A link that pulls a number from another tab.</t>
  </si>
  <si>
    <t>Yellow fill</t>
  </si>
  <si>
    <t>A key assumption or a cell you should set for your deal.</t>
  </si>
  <si>
    <t>Note</t>
  </si>
  <si>
    <t>All numbers are starting hypotheses anchored to competitor pricing and to RAS willingness-to-pay. Calibrate against pilot data before quoting. Enterprise is partner-led per the locked ICP.</t>
  </si>
  <si>
    <t>RAS List Pricing  |  four tiers</t>
  </si>
  <si>
    <t>The published shape of each tier. Business and Enterprise then grow through Accelerators and Customization. Enterprise is a floor, not a ceiling.</t>
  </si>
  <si>
    <t>Line</t>
  </si>
  <si>
    <t>Individual</t>
  </si>
  <si>
    <t>Team</t>
  </si>
  <si>
    <t>Business</t>
  </si>
  <si>
    <t>Enterprise</t>
  </si>
  <si>
    <t>Platform base ($/mo)</t>
  </si>
  <si>
    <t>Platform base (₹/mo)</t>
  </si>
  <si>
    <t>Platform base ($/yr)</t>
  </si>
  <si>
    <t>What the base includes</t>
  </si>
  <si>
    <t>Builder seats included</t>
  </si>
  <si>
    <t>Viewer seats included</t>
  </si>
  <si>
    <t>Active workspaces</t>
  </si>
  <si>
    <t>Unlimited*</t>
  </si>
  <si>
    <t>Documents in index</t>
  </si>
  <si>
    <t>RAS Credits / mo</t>
  </si>
  <si>
    <t>Max pages / document</t>
  </si>
  <si>
    <t>Custom</t>
  </si>
  <si>
    <t>Platform and governance</t>
  </si>
  <si>
    <t>SSO / SAML</t>
  </si>
  <si>
    <t>—</t>
  </si>
  <si>
    <t>Yes</t>
  </si>
  <si>
    <t>Audit logs / data residency</t>
  </si>
  <si>
    <t>Standard</t>
  </si>
  <si>
    <t>Full AGP</t>
  </si>
  <si>
    <t>MCP / SDK / PaaS</t>
  </si>
  <si>
    <t>Deployment options</t>
  </si>
  <si>
    <t>SaaS</t>
  </si>
  <si>
    <t>SaaS / BYOC</t>
  </si>
  <si>
    <t>Any (see multiplier)</t>
  </si>
  <si>
    <t>SLA</t>
  </si>
  <si>
    <t>Overage</t>
  </si>
  <si>
    <t>Upgrade</t>
  </si>
  <si>
    <t>Credit packs</t>
  </si>
  <si>
    <t>Committed pool</t>
  </si>
  <si>
    <t>Motion</t>
  </si>
  <si>
    <t>Self-serve</t>
  </si>
  <si>
    <t>Direct / light-touch</t>
  </si>
  <si>
    <t>Partner-led</t>
  </si>
  <si>
    <t>* Enterprise workspaces unlimited under fair use. Everything beyond the included amounts is priced on the Accelerators tab. Enterprise base is a platform floor; typical Year-1 ACV builds well past it once seats, credits, deployment and customization are added (see QuoteBuilder).</t>
  </si>
  <si>
    <t>Segments  |  who buys RAS and what they will pay</t>
  </si>
  <si>
    <t>Pulled from the locked RAS ICP and the ABM persona ladder, matched to the competitor anchors on the Benchmark tab. This is the justification layer for the numbers.</t>
  </si>
  <si>
    <t>Segment</t>
  </si>
  <si>
    <t>ICP and who benefits</t>
  </si>
  <si>
    <t>Buyer personas</t>
  </si>
  <si>
    <t>What they pay today</t>
  </si>
  <si>
    <t>RAS target</t>
  </si>
  <si>
    <t>Individual researchers and academics; college programmes (RAS is taught at ~20 universities); solo analysts; very early life-sciences and fintech founders.</t>
  </si>
  <si>
    <t>User = the researcher or analyst. Buys their own seat. No procurement.</t>
  </si>
  <si>
    <t>A prosumer AI subscription ($20-200/mo) plus DIY search. A single AlphaSense or Hebbia seat ($10-20k/yr) is out of reach.</t>
  </si>
  <si>
    <t>$49/mo (academic $19/mo or free via programme). A wedge, not a profit centre. Feeds bottoms-up into teams.</t>
  </si>
  <si>
    <t>Mid-sized company</t>
  </si>
  <si>
    <t>Life-sciences startups, boutique investment banks, VC and PE funds, fintechs, CDMOs, mutual-fund companies. The direct-GTM sweet spot. India first, US second.</t>
  </si>
  <si>
    <t>User = analysts and scientists (build workspaces). Influencer = CIO or COO type. Decision maker = CEO or CTO depending on size.</t>
  </si>
  <si>
    <t>A boutique fund pays ~$45-60k for 3 AlphaSense seats, or runs 3-10 analysts (India ~₹8-25L each). Plus PitchBook, Bloomberg, consultants.</t>
  </si>
  <si>
    <t>Business tier landing ~$30-80k/yr. Undercuts the AlphaSense stack while delivering the whole evidence-to-decision loop.</t>
  </si>
  <si>
    <t>BFSI, pharma and pharma-allied, large IBs, government. Partner-led only (Adya has no direct enterprise sales muscle yet). Named accounts stay credibility proof points.</t>
  </si>
  <si>
    <t>User = researchers and scientists. Influencer = CIO or COO. Decision maker = CEO, CTO or the board. Champion or blocker = head of tech or GTM.</t>
  </si>
  <si>
    <t>AlphaSense large customers $1M+; Glean mid-large TCO $350-480k; Databricks median ~$250k/yr. Plus a research team and consultants.</t>
  </si>
  <si>
    <t>From $102k/yr platform floor, building to $250k-$1M+ once deployment, credits, seats and AI ELT customization are added.</t>
  </si>
  <si>
    <t>Willingness-to-pay logic</t>
  </si>
  <si>
    <t>The value RAS displaces per seat is large: it replaces a ten-subscription stack (AlphaSense, Hebbia, Bloomberg, PitchBook, CB Insights, Gartner, Forrester, plus DIY AI and BI tools) and a slice of a research team. That is the WTP ceiling.</t>
  </si>
  <si>
    <t>Individual is priced at the prosumer floor because that buyer compares RAS to a $20-200/mo subscription, not to an enterprise seat. The goal is adoption and academic reach, not margin.</t>
  </si>
  <si>
    <t>Mid-market has the strongest margin case: the buyer already pays five figures for AlphaSense or carries analyst salaries, so a $30-80k RAS deal reads as a saving while being real revenue for Adya.</t>
  </si>
  <si>
    <t>Enterprise WTP is set by governance and sovereignty, not seat count. AGP plus on-prem or air-gapped deployment is what a bank or pharma pays a premium for, which is why deployment is a multiplier here.</t>
  </si>
  <si>
    <t>Competitive Benchmark  |  how RAS should be priced against the field</t>
  </si>
  <si>
    <t>Current, dated figures for the tools you named plus your two closest direct competitors. Note the pattern: the market is converging on base + seats + usage credits + a governance premium + services.</t>
  </si>
  <si>
    <t>Vendor</t>
  </si>
  <si>
    <t>Pricing model</t>
  </si>
  <si>
    <t>Headline numbers</t>
  </si>
  <si>
    <t>What the higher tier gates</t>
  </si>
  <si>
    <t>Read-across for RAS</t>
  </si>
  <si>
    <t>Claude Science</t>
  </si>
  <si>
    <t>Bundled into the Claude subscription</t>
  </si>
  <si>
    <t>Pro $20/mo; Max $100-200/mo; Team and Enterprise custom</t>
  </si>
  <si>
    <t>More usage and admin, not a separate science price</t>
  </si>
  <si>
    <t>Sets the ceiling for an Individual plan. RAS individual must live near a prosumer subscription, not an enterprise seat.</t>
  </si>
  <si>
    <t>Glean</t>
  </si>
  <si>
    <t>Per seat + usage credits + platform + support %</t>
  </si>
  <si>
    <t>~$50/user/mo base, +$15 for Work AI; ~100-seat / ~$60k floor; mid-large TCO $350-480k</t>
  </si>
  <si>
    <t>AI agents, BYOC, deeper indexing</t>
  </si>
  <si>
    <t>The closest structural template: seats plus metered credits plus implementation. RAS should mirror this shape.</t>
  </si>
  <si>
    <t>Snowflake</t>
  </si>
  <si>
    <t>Pure consumption (credits) + storage</t>
  </si>
  <si>
    <t>Std $2 / Ent $3 / Biz-Critical $4 / VPS $6 per credit; storage ~$23/TB; commit 25-45% off</t>
  </si>
  <si>
    <t>Governance and isolation cost a higher per-credit rate</t>
  </si>
  <si>
    <t>Governance is a price lever, not a feature checkbox. Editions that add governance charge 1.5-3x per unit.</t>
  </si>
  <si>
    <t>Databricks</t>
  </si>
  <si>
    <t>Pure consumption (DBU) + cloud infra</t>
  </si>
  <si>
    <t>$0.07 to $1.00+/DBU; Premium ~+37% vs Std; commit 20-40% off; median customer ~$250k/yr</t>
  </si>
  <si>
    <t>Unity Catalog, audit, HIPAA, private link</t>
  </si>
  <si>
    <t>Same lesson: higher governance tier raises the unit rate. Committed use earns a discount. Abstract the meter (DBU) so price is not raw seats.</t>
  </si>
  <si>
    <t>AlphaSense</t>
  </si>
  <si>
    <t>Per seat + content + expert-call credits; now adding consumption</t>
  </si>
  <si>
    <t>$10-20k/seat; $40k+ with expert calls; avg deal $50-100k; large $1M+</t>
  </si>
  <si>
    <t>Expert calls, internal-data integration, hosting</t>
  </si>
  <si>
    <t>Direct competitor and a WTP ceiling. Notably it is shifting off flat seats toward consumption, which validates the hybrid model.</t>
  </si>
  <si>
    <t>Hebbia</t>
  </si>
  <si>
    <t>Two-tier flat seat, unlimited under fair use</t>
  </si>
  <si>
    <t>Professional ~$10k/seat/yr (builders); Lite $3-3.5k/seat/yr (consumers)</t>
  </si>
  <si>
    <t>Agent building, advanced integrations</t>
  </si>
  <si>
    <t>Direct competitor. The Builder vs Viewer split maps exactly onto the RAS persona ladder and is a proven land-and-expand engine.</t>
  </si>
  <si>
    <t>Bloomberg Terminal</t>
  </si>
  <si>
    <t>Flat per seat (the before-stack anchor)</t>
  </si>
  <si>
    <t>~$30k/seat/yr</t>
  </si>
  <si>
    <t>n/a</t>
  </si>
  <si>
    <t>Part of the ten-subscription stack RAS replaces. Frames the 'research team in one product' value.</t>
  </si>
  <si>
    <t>Adya RAS 2.0</t>
  </si>
  <si>
    <t>Base + Builder/Viewer seats + Credits + Governance/Deployment premium + AI ELT services</t>
  </si>
  <si>
    <t>Individual $49/mo; Team $499/mo; Business from $1,999/mo; Enterprise from $102k/yr</t>
  </si>
  <si>
    <t>Deployment multiplier (SaaS to air-gapped) and full AGP governance</t>
  </si>
  <si>
    <t>Undercuts AlphaSense and Hebbia per seat while charging for usage, governance and customization the way Snowflake and Databricks do.</t>
  </si>
  <si>
    <t>Sources (accessed 17 Sep 2026)</t>
  </si>
  <si>
    <t>Claude subscription tiers and bundled Claude Science: claude.com/pricing; suprmind.ai; cloudzero.com.</t>
  </si>
  <si>
    <t>Glean: gosearch.ai, workativ.com, checkthat.ai, vendr.com (buyer-reported, Vendr and Forrester data).</t>
  </si>
  <si>
    <t>Snowflake: Snowflake Service Consumption Table (eff. 1 Sep 2026) via markaicode.com; finout.io; cloudzero.com.</t>
  </si>
  <si>
    <t>Databricks: flexera.com; cloudzero.com; opslyft.com; costbench.com (Vendr median).</t>
  </si>
  <si>
    <t>AlphaSense: sacra.com ($700M ARR, seat range), enterprisedna.co (shift to consumption), elevatedsignal.com, vendr.com.</t>
  </si>
  <si>
    <t>Hebbia: sacra.com and usagepricing.com (Professional/Lite seat tiers), spellbook.com.</t>
  </si>
  <si>
    <t>Bloomberg Terminal: widely reported ~$30k/seat/yr; used here as a before-stack anchor.</t>
  </si>
  <si>
    <t>RAS Credits  |  the usage meter</t>
  </si>
  <si>
    <t>One credit is the base unit of work. Each action draws credits by how much compute it uses. This replaces the old flat query cap with something that scales revenue with heavy use.</t>
  </si>
  <si>
    <t>Action</t>
  </si>
  <si>
    <t>Credits drawn</t>
  </si>
  <si>
    <t>Rationale</t>
  </si>
  <si>
    <t>Enterprise Search question</t>
  </si>
  <si>
    <t>Cheap daily-habit action. Keep it light so search becomes a reflex.</t>
  </si>
  <si>
    <t>Data Analyst question (text-to-SQL)</t>
  </si>
  <si>
    <t>Core proof point (BIRD world #3). Priced to encourage use.</t>
  </si>
  <si>
    <t>Strategy agent session</t>
  </si>
  <si>
    <t>Synthesises across the other agents and firm knowledge.</t>
  </si>
  <si>
    <t>Deep Research run (standard)</t>
  </si>
  <si>
    <t>Multi-source, long running, highest compute.</t>
  </si>
  <si>
    <t>Deep Research run (deep mode)</t>
  </si>
  <si>
    <t>More sources and longer runtime than standard.</t>
  </si>
  <si>
    <t>Custom workflow run</t>
  </si>
  <si>
    <t>A built workflow firing its agent chain. Tune per workflow if needed.</t>
  </si>
  <si>
    <t>Follow-up in same thread</t>
  </si>
  <si>
    <t>Never penalise iterative questioning.</t>
  </si>
  <si>
    <t>Failed / errored run</t>
  </si>
  <si>
    <t>Never charge for a system failure.</t>
  </si>
  <si>
    <t>Buying more credits</t>
  </si>
  <si>
    <t>Overage pack (per 1,000)</t>
  </si>
  <si>
    <t>Mid-term top-up, no commitment.</t>
  </si>
  <si>
    <t>Committed pool (per 1,000)</t>
  </si>
  <si>
    <t>Pre-purchased inside an annual or multi-year commit. Cheaper per credit, like Snowflake and Databricks committed use.</t>
  </si>
  <si>
    <t>RAS Accelerators  |  the engine that grows an account</t>
  </si>
  <si>
    <t>Price rises as the account expands. These per-unit rates apply to anything beyond what a tier includes. QuoteBuilder pulls from here.</t>
  </si>
  <si>
    <t>Global assumptions</t>
  </si>
  <si>
    <t>Value</t>
  </si>
  <si>
    <t>FX rate (₹ per $)</t>
  </si>
  <si>
    <t>Edit to today’s rate. Drives the India (₹) columns.</t>
  </si>
  <si>
    <t>India factor (self-serve tiers)</t>
  </si>
  <si>
    <t>India list = Global $ x FX x this factor. Reflects lower WTP and PPP for Individual and Team. Enterprise is quoted in USD.</t>
  </si>
  <si>
    <t>Commit discount: annual</t>
  </si>
  <si>
    <t>Applied to recurring for a 12-month commitment. Anchored to Snowflake 25-45% and Databricks 20-40% ranges, set conservatively.</t>
  </si>
  <si>
    <t>Commit discount: 3-year</t>
  </si>
  <si>
    <t>Applied to recurring for a 36-month commitment.</t>
  </si>
  <si>
    <t>Credit pack (overage) per 1,000</t>
  </si>
  <si>
    <t>Price of buying more credits mid-term without a commit.</t>
  </si>
  <si>
    <t>Credit pack (committed) per 1,000</t>
  </si>
  <si>
    <t>Price of credits inside a committed pool.</t>
  </si>
  <si>
    <t>Scale driver (per unit, per month)</t>
  </si>
  <si>
    <t>Global ($)</t>
  </si>
  <si>
    <t>India (₹)</t>
  </si>
  <si>
    <t>How it works</t>
  </si>
  <si>
    <t>Extra Builder seat</t>
  </si>
  <si>
    <t>Analyst, scientist or PM who creates workspaces, workflows and ontologies. Your power user. Anchored below Hebbia Professional ($833/mo).</t>
  </si>
  <si>
    <t>Extra Viewer seat</t>
  </si>
  <si>
    <t>Partner, exec or reviewer who reads and asks. Anchored near Hebbia Lite and Glean base logic.</t>
  </si>
  <si>
    <t>Extra active workspace</t>
  </si>
  <si>
    <t>Each live workspace beyond the tier allowance. Archived workspaces are read-only and free.</t>
  </si>
  <si>
    <t>Tracked variables (per 100)</t>
  </si>
  <si>
    <t>Typed nodes in the strategy flow bound to live data. Priced per 100 because heavy models cost more compute.</t>
  </si>
  <si>
    <t>Active integration (custom / premium)</t>
  </si>
  <si>
    <t>Each live custom or premium connector. Standard registry connectors are free.</t>
  </si>
  <si>
    <t>Documents in index (per 10,000)</t>
  </si>
  <si>
    <t>Active documents or URLs in the index, which also drives storage. Deleting frees capacity.</t>
  </si>
  <si>
    <t>Active ontology</t>
  </si>
  <si>
    <t>Each live company or domain ontology in the knowledge graph. Recurring because it is maintained and it compounds.</t>
  </si>
  <si>
    <t>Active fine-tuned model</t>
  </si>
  <si>
    <t>Hosting and upkeep of a customer-specific fine-tuned model. The one-time build sits on the Customization tab.</t>
  </si>
  <si>
    <t>Deployment / governance</t>
  </si>
  <si>
    <t>Recurring multiplier</t>
  </si>
  <si>
    <t>One-time implementation</t>
  </si>
  <si>
    <t>Why the premium</t>
  </si>
  <si>
    <t>SaaS (Adya cloud)</t>
  </si>
  <si>
    <t>Standard multi-tenant. The baseline.</t>
  </si>
  <si>
    <t>BYOC (their cloud)</t>
  </si>
  <si>
    <t>Runs in the customer VPC. More ops and support. Anchored to Databricks Premium and Snowflake edition step-ups.</t>
  </si>
  <si>
    <t>On-prem</t>
  </si>
  <si>
    <t>Customer data centre. Full AGP governance, residency, isolation.</t>
  </si>
  <si>
    <t>Air-gapped</t>
  </si>
  <si>
    <t>No external network. Highest sovereignty. Anchored above Snowflake VPS ($6 vs $2 per credit).</t>
  </si>
  <si>
    <t>Customization and Services  |  the AI ELT rate card</t>
  </si>
  <si>
    <t>Everything a customer can ask for on top of the platform, delivered through the AI ELT. Each item has a one-time build fee by complexity, plus recurring where the work keeps living in the platform.</t>
  </si>
  <si>
    <t>Service item</t>
  </si>
  <si>
    <t>S</t>
  </si>
  <si>
    <t>M</t>
  </si>
  <si>
    <t>L</t>
  </si>
  <si>
    <t>Recurring / mo</t>
  </si>
  <si>
    <t>Method, complexity guide and recurring treatment</t>
  </si>
  <si>
    <t>Custom integration (connector)</t>
  </si>
  <si>
    <t>MCP connector build. S = REST with clean docs. M = auth or pagination quirks. L = legacy or on-prem system. Recurring is the $75/mo per active integration on Accelerators.</t>
  </si>
  <si>
    <t>Localization pack (language + compliance)</t>
  </si>
  <si>
    <t>S = UI and prompts for one language. M = adds regional data formats. L = adds a regulatory framework (for example local data law). Recurring $150/mo per locale kept live.</t>
  </si>
  <si>
    <t>Deployment implementation</t>
  </si>
  <si>
    <t>S = BYOC, M = On-prem, L = Air-gapped. One-time figures link to the deployment table so there is one source. Ongoing cost is the deployment multiplier, not a separate line.</t>
  </si>
  <si>
    <t>LLM swap / config (their model)</t>
  </si>
  <si>
    <t>Point RAS at a customer-preferred or customer-hosted model. S = a supported hosted model. M = a self-hosted endpoint. L = a bespoke gateway with routing rules.</t>
  </si>
  <si>
    <t>LLM fine-tune (SLM, Model Studio)</t>
  </si>
  <si>
    <t>Data prep, training, evals and publishing of a domain small model. S = one narrow lane. M = several lanes. L = a full domain suite. Hosting is $400/mo per model on Accelerators. Sells ~90% inference savings on solved lanes.</t>
  </si>
  <si>
    <t>Custom workflow build</t>
  </si>
  <si>
    <t>A built agent chain for their process. S = up to ~5 steps. M = branching and a few integrations. L = many agents and approvals. Run cost is drawn from credits.</t>
  </si>
  <si>
    <t>Custom ontology build</t>
  </si>
  <si>
    <t>Company or domain knowledge graph and doctrine rules. S = one domain, few entity types. M = multi-domain. L = enterprise-wide. Maintained via the $250/mo per ontology on Accelerators.</t>
  </si>
  <si>
    <t>AI ELT data onboarding</t>
  </si>
  <si>
    <t>Ingest, normalise and structure their data into the fabric. S = a few clean sources. M = several sources with transforms. L = large messy estate, many systems. Ongoing storage and index sits in the documents accelerator.</t>
  </si>
  <si>
    <t>Quote Builder  |  build any deal</t>
  </si>
  <si>
    <t>Set the yellow and blue cells. The model returns monthly recurring, annual recurring, one-time cost and Year-1 ACV. Prefilled with a mid-market life-sciences / boutique-fund example.</t>
  </si>
  <si>
    <t>1. Deal setup</t>
  </si>
  <si>
    <t>Tier</t>
  </si>
  <si>
    <t>One of: Individual, Team, Business, Enterprise</t>
  </si>
  <si>
    <t>Deployment</t>
  </si>
  <si>
    <t>One of: SaaS (Adya cloud), BYOC (their cloud), On-prem, Air-gapped</t>
  </si>
  <si>
    <t>Commit term</t>
  </si>
  <si>
    <t>Annual</t>
  </si>
  <si>
    <t>One of: Monthly, Annual, 3-year</t>
  </si>
  <si>
    <t>Deployment multiplier</t>
  </si>
  <si>
    <t>Commit discount</t>
  </si>
  <si>
    <t>2. Seats and usage</t>
  </si>
  <si>
    <t>Item</t>
  </si>
  <si>
    <t>You need</t>
  </si>
  <si>
    <t>Included</t>
  </si>
  <si>
    <t>Chargeable</t>
  </si>
  <si>
    <t>$/mo</t>
  </si>
  <si>
    <t>Unit rate from Accelerators</t>
  </si>
  <si>
    <t>Builder seats (total)</t>
  </si>
  <si>
    <t>Viewer seats (total)</t>
  </si>
  <si>
    <t>RAS Credits / mo (total)</t>
  </si>
  <si>
    <t>Committed vs overage per 1,000</t>
  </si>
  <si>
    <t>Additional active workspaces</t>
  </si>
  <si>
    <t>-</t>
  </si>
  <si>
    <t>Variable blocks (per 100)</t>
  </si>
  <si>
    <t>Additional integrations</t>
  </si>
  <si>
    <t>Additional document blocks (per 10,000)</t>
  </si>
  <si>
    <t>Additional active ontologies</t>
  </si>
  <si>
    <t>Additional fine-tuned models</t>
  </si>
  <si>
    <t>3. Customization (one-time build via AI ELT)</t>
  </si>
  <si>
    <t>Qty</t>
  </si>
  <si>
    <t>Cmplx</t>
  </si>
  <si>
    <t>One-time each</t>
  </si>
  <si>
    <t>One-time total</t>
  </si>
  <si>
    <t>Recurring/mo total</t>
  </si>
  <si>
    <t>Customization subtotal</t>
  </si>
  <si>
    <t>Deployment implementation (from deployment choice)</t>
  </si>
  <si>
    <t>0 for SaaS; BYOC/On-prem/Air-gapped per table</t>
  </si>
  <si>
    <t>4. Deal economics</t>
  </si>
  <si>
    <t>Recurring subtotal ($/mo, pre-adjust)</t>
  </si>
  <si>
    <t>After deployment multiplier</t>
  </si>
  <si>
    <t>Monthly recurring (after commit discount)</t>
  </si>
  <si>
    <t>Annual recurring</t>
  </si>
  <si>
    <t>One-time total (build + deployment impl)</t>
  </si>
  <si>
    <t>Year-1 ACV (annual recurring + one-time)</t>
  </si>
  <si>
    <t>Ongoing ACV (Year 2+)</t>
  </si>
  <si>
    <t>How to switch this to an Enterprise pharma or a small team: change the yellow Tier and Deployment cells, adjust seats, credits and the customization quantities. Everything recalculates. For Air-gapped, set Deployment to Air-gapped and the multiplier and implementation update automatically.</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</si>
</sst>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
    <numFmt numFmtId="165" formatCode="\₹#,##0"/>
    <numFmt numFmtId="166" formatCode="0.00\x"/>
  </numFmts>
  <fonts count="12">
    <font>
      <sz val="11.0"/>
      <color theme="1"/>
      <name val="Calibri"/>
      <scheme val="minor"/>
    </font>
    <font>
      <b/>
      <sz val="16.0"/>
      <color rgb="FF0F6E6E"/>
      <name val="Arial"/>
    </font>
    <font>
      <i/>
      <sz val="10.0"/>
      <color rgb="FF595959"/>
      <name val="Arial"/>
    </font>
    <font>
      <b/>
      <sz val="10.0"/>
      <color rgb="FF000000"/>
      <name val="Arial"/>
    </font>
    <font>
      <sz val="10.0"/>
      <color rgb="FF000000"/>
      <name val="Arial"/>
    </font>
    <font>
      <b/>
      <sz val="10.0"/>
      <color rgb="FFFFFFFF"/>
      <name val="Arial"/>
    </font>
    <font>
      <b/>
      <sz val="10.0"/>
      <color rgb="FF0000FF"/>
      <name val="Arial"/>
    </font>
    <font>
      <b/>
      <sz val="10.0"/>
      <color rgb="FF008000"/>
      <name val="Arial"/>
    </font>
    <font>
      <sz val="10.0"/>
      <color rgb="FF0000FF"/>
      <name val="Arial"/>
    </font>
    <font>
      <sz val="10.0"/>
      <color rgb="FF008000"/>
      <name val="Arial"/>
    </font>
    <font>
      <sz val="11.0"/>
      <color theme="1"/>
      <name val="Calibri"/>
    </font>
    <font/>
  </fonts>
  <fills count="6">
    <fill>
      <patternFill patternType="none"/>
    </fill>
    <fill>
      <patternFill patternType="lightGray"/>
    </fill>
    <fill>
      <patternFill patternType="solid">
        <fgColor rgb="FFD6ECEC"/>
        <bgColor rgb="FFD6ECEC"/>
      </patternFill>
    </fill>
    <fill>
      <patternFill patternType="solid">
        <fgColor rgb="FF0F6E6E"/>
        <bgColor rgb="FF0F6E6E"/>
      </patternFill>
    </fill>
    <fill>
      <patternFill patternType="solid">
        <fgColor rgb="FFFFF2B2"/>
        <bgColor rgb="FFFFF2B2"/>
      </patternFill>
    </fill>
    <fill>
      <patternFill patternType="solid">
        <fgColor rgb="FFF4F8F8"/>
        <bgColor rgb="FFF4F8F8"/>
      </patternFill>
    </fill>
  </fills>
  <borders count="6">
    <border/>
    <border>
      <left style="thin">
        <color rgb="FFBFBFBF"/>
      </left>
      <right style="thin">
        <color rgb="FFBFBFBF"/>
      </right>
      <top style="thin">
        <color rgb="FFBFBFBF"/>
      </top>
      <bottom style="thin">
        <color rgb="FFBFBFBF"/>
      </bottom>
    </border>
    <border>
      <left/>
      <right/>
      <top/>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1"/>
    </xf>
    <xf borderId="1" fillId="2" fontId="3" numFmtId="0" xfId="0" applyAlignment="1" applyBorder="1" applyFill="1" applyFont="1">
      <alignment horizontal="left" shrinkToFit="0" vertical="center" wrapText="1"/>
    </xf>
    <xf borderId="1" fillId="0" fontId="4" numFmtId="0" xfId="0" applyAlignment="1" applyBorder="1" applyFont="1">
      <alignment horizontal="left" shrinkToFit="0" vertical="center" wrapText="1"/>
    </xf>
    <xf borderId="1" fillId="3" fontId="5" numFmtId="0" xfId="0" applyAlignment="1" applyBorder="1" applyFill="1" applyFont="1">
      <alignment horizontal="center" shrinkToFit="0" vertical="center" wrapText="1"/>
    </xf>
    <xf borderId="1" fillId="0" fontId="3" numFmtId="0" xfId="0" applyAlignment="1" applyBorder="1" applyFont="1">
      <alignment horizontal="left" shrinkToFit="0" vertical="center" wrapText="0"/>
    </xf>
    <xf borderId="1" fillId="4" fontId="3" numFmtId="0" xfId="0" applyAlignment="1" applyBorder="1" applyFill="1" applyFont="1">
      <alignment horizontal="left" shrinkToFit="0" vertical="center" wrapText="0"/>
    </xf>
    <xf borderId="1" fillId="4" fontId="4" numFmtId="0" xfId="0" applyAlignment="1" applyBorder="1" applyFill="1" applyFont="1">
      <alignment horizontal="left" shrinkToFit="0" vertical="center" wrapText="0"/>
    </xf>
    <xf borderId="1" fillId="0" fontId="6" numFmtId="0" xfId="0" applyAlignment="1" applyBorder="1" applyFont="1">
      <alignment horizontal="left" shrinkToFit="0" vertical="center" wrapText="0"/>
    </xf>
    <xf borderId="1" fillId="0" fontId="7" numFmtId="0" xfId="0" applyAlignment="1" applyBorder="1" applyFont="1">
      <alignment horizontal="left" shrinkToFit="0" vertical="center" wrapText="0"/>
    </xf>
    <xf borderId="0" fillId="0" fontId="2" numFmtId="0" xfId="0" applyAlignment="1" applyFont="1">
      <alignment shrinkToFit="0" vertical="bottom" wrapText="0"/>
    </xf>
    <xf borderId="1" fillId="0" fontId="8" numFmtId="164" xfId="0" applyAlignment="1" applyBorder="1" applyFont="1" applyNumberFormat="1">
      <alignment horizontal="center" shrinkToFit="0" vertical="center" wrapText="0"/>
    </xf>
    <xf borderId="1" fillId="0" fontId="4" numFmtId="0" xfId="0" applyAlignment="1" applyBorder="1" applyFont="1">
      <alignment horizontal="left" shrinkToFit="0" vertical="center" wrapText="0"/>
    </xf>
    <xf borderId="1" fillId="0" fontId="9" numFmtId="165" xfId="0" applyAlignment="1" applyBorder="1" applyFont="1" applyNumberFormat="1">
      <alignment horizontal="center" shrinkToFit="0" vertical="center" wrapText="0"/>
    </xf>
    <xf borderId="1" fillId="0" fontId="3" numFmtId="0" xfId="0" applyAlignment="1" applyBorder="1" applyFont="1">
      <alignment horizontal="center" shrinkToFit="0" vertical="center" wrapText="0"/>
    </xf>
    <xf borderId="1" fillId="2" fontId="3" numFmtId="0" xfId="0" applyAlignment="1" applyBorder="1" applyFill="1" applyFont="1">
      <alignment horizontal="left" shrinkToFit="0" vertical="center" wrapText="0"/>
    </xf>
    <xf borderId="2" fillId="2" fontId="10" numFmtId="0" xfId="0" applyAlignment="1" applyBorder="1" applyFill="1" applyFont="1">
      <alignment shrinkToFit="0" vertical="bottom" wrapText="0"/>
    </xf>
    <xf borderId="1" fillId="0" fontId="8" numFmtId="1" xfId="0" applyAlignment="1" applyBorder="1" applyFont="1" applyNumberFormat="1">
      <alignment horizontal="center" shrinkToFit="0" vertical="center" wrapText="0"/>
    </xf>
    <xf borderId="1" fillId="0" fontId="4" numFmtId="0" xfId="0" applyAlignment="1" applyBorder="1" applyFont="1">
      <alignment horizontal="center" shrinkToFit="0" vertical="center" wrapText="0"/>
    </xf>
    <xf borderId="1" fillId="0" fontId="8" numFmtId="3" xfId="0" applyAlignment="1" applyBorder="1" applyFont="1" applyNumberFormat="1">
      <alignment horizontal="center" shrinkToFit="0" vertical="center" wrapText="0"/>
    </xf>
    <xf borderId="3" fillId="0" fontId="2" numFmtId="0" xfId="0" applyAlignment="1" applyBorder="1" applyFont="1">
      <alignment horizontal="left" shrinkToFit="0" vertical="center" wrapText="1"/>
    </xf>
    <xf borderId="4" fillId="0" fontId="11" numFmtId="0" xfId="0" applyBorder="1" applyFont="1"/>
    <xf borderId="5" fillId="0" fontId="11" numFmtId="0" xfId="0" applyBorder="1" applyFont="1"/>
    <xf borderId="1" fillId="0" fontId="3" numFmtId="0" xfId="0" applyAlignment="1" applyBorder="1" applyFont="1">
      <alignment horizontal="left" shrinkToFit="0" vertical="center" wrapText="1"/>
    </xf>
    <xf borderId="3" fillId="4" fontId="3" numFmtId="0" xfId="0" applyAlignment="1" applyBorder="1" applyFill="1" applyFont="1">
      <alignment horizontal="left" shrinkToFit="0" vertical="center" wrapText="0"/>
    </xf>
    <xf borderId="3" fillId="0" fontId="4" numFmtId="0" xfId="0" applyAlignment="1" applyBorder="1" applyFont="1">
      <alignment horizontal="left" shrinkToFit="0" vertical="center" wrapText="1"/>
    </xf>
    <xf borderId="1" fillId="5" fontId="3" numFmtId="0" xfId="0" applyAlignment="1" applyBorder="1" applyFill="1" applyFont="1">
      <alignment horizontal="left" shrinkToFit="0" vertical="center" wrapText="1"/>
    </xf>
    <xf borderId="1" fillId="5" fontId="4" numFmtId="0" xfId="0" applyAlignment="1" applyBorder="1" applyFill="1" applyFont="1">
      <alignment horizontal="left" shrinkToFit="0" vertical="center" wrapText="1"/>
    </xf>
    <xf borderId="1" fillId="3" fontId="5" numFmtId="0" xfId="0" applyAlignment="1" applyBorder="1" applyFill="1" applyFont="1">
      <alignment horizontal="left" shrinkToFit="0" vertical="center" wrapText="0"/>
    </xf>
    <xf borderId="1" fillId="2" fontId="4" numFmtId="0" xfId="0" applyAlignment="1" applyBorder="1" applyFill="1" applyFont="1">
      <alignment horizontal="left" shrinkToFit="0" vertical="center" wrapText="1"/>
    </xf>
    <xf borderId="1" fillId="5" fontId="4" numFmtId="0" xfId="0" applyAlignment="1" applyBorder="1" applyFill="1" applyFont="1">
      <alignment horizontal="left" shrinkToFit="0" vertical="center" wrapText="0"/>
    </xf>
    <xf borderId="1" fillId="5" fontId="8" numFmtId="1" xfId="0" applyAlignment="1" applyBorder="1" applyFill="1" applyFont="1" applyNumberFormat="1">
      <alignment horizontal="center" shrinkToFit="0" vertical="center" wrapText="0"/>
    </xf>
    <xf borderId="1" fillId="2" fontId="4" numFmtId="0" xfId="0" applyAlignment="1" applyBorder="1" applyFill="1" applyFont="1">
      <alignment horizontal="left" shrinkToFit="0" vertical="center" wrapText="0"/>
    </xf>
    <xf borderId="1" fillId="0" fontId="9" numFmtId="164" xfId="0" applyAlignment="1" applyBorder="1" applyFont="1" applyNumberFormat="1">
      <alignment horizontal="center" shrinkToFit="0" vertical="center" wrapText="0"/>
    </xf>
    <xf borderId="1" fillId="3" fontId="5" numFmtId="0" xfId="0" applyAlignment="1" applyBorder="1" applyFill="1" applyFont="1">
      <alignment horizontal="center" shrinkToFit="0" vertical="center" wrapText="0"/>
    </xf>
    <xf borderId="1" fillId="3" fontId="4" numFmtId="0" xfId="0" applyAlignment="1" applyBorder="1" applyFill="1" applyFont="1">
      <alignment horizontal="left" shrinkToFit="0" vertical="center" wrapText="0"/>
    </xf>
    <xf borderId="1" fillId="4" fontId="8" numFmtId="1" xfId="0" applyAlignment="1" applyBorder="1" applyFill="1" applyFont="1" applyNumberFormat="1">
      <alignment horizontal="center" shrinkToFit="0" vertical="bottom" wrapText="0"/>
    </xf>
    <xf borderId="1" fillId="4" fontId="4" numFmtId="0" xfId="0" applyAlignment="1" applyBorder="1" applyFill="1" applyFont="1">
      <alignment horizontal="left" shrinkToFit="0" vertical="center" wrapText="1"/>
    </xf>
    <xf borderId="1" fillId="4" fontId="8" numFmtId="9" xfId="0" applyAlignment="1" applyBorder="1" applyFill="1" applyFont="1" applyNumberFormat="1">
      <alignment horizontal="center" shrinkToFit="0" vertical="bottom" wrapText="0"/>
    </xf>
    <xf borderId="1" fillId="4" fontId="8" numFmtId="164" xfId="0" applyAlignment="1" applyBorder="1" applyFill="1" applyFont="1" applyNumberFormat="1">
      <alignment horizontal="center" shrinkToFit="0" vertical="bottom" wrapText="0"/>
    </xf>
    <xf borderId="1" fillId="0" fontId="4" numFmtId="0" xfId="0" applyAlignment="1" applyBorder="1" applyFont="1">
      <alignment horizontal="left" readingOrder="0" shrinkToFit="0" vertical="center" wrapText="1"/>
    </xf>
    <xf borderId="1" fillId="5" fontId="8" numFmtId="164" xfId="0" applyAlignment="1" applyBorder="1" applyFill="1" applyFont="1" applyNumberFormat="1">
      <alignment horizontal="center" shrinkToFit="0" vertical="center" wrapText="0"/>
    </xf>
    <xf borderId="1" fillId="5" fontId="9" numFmtId="165" xfId="0" applyAlignment="1" applyBorder="1" applyFill="1" applyFont="1" applyNumberFormat="1">
      <alignment horizontal="center" shrinkToFit="0" vertical="center" wrapText="0"/>
    </xf>
    <xf borderId="1" fillId="0" fontId="8" numFmtId="166" xfId="0" applyAlignment="1" applyBorder="1" applyFont="1" applyNumberFormat="1">
      <alignment horizontal="center" shrinkToFit="0" vertical="center" wrapText="0"/>
    </xf>
    <xf borderId="1" fillId="5" fontId="3" numFmtId="0" xfId="0" applyAlignment="1" applyBorder="1" applyFill="1" applyFont="1">
      <alignment horizontal="left" shrinkToFit="0" vertical="center" wrapText="0"/>
    </xf>
    <xf borderId="1" fillId="4" fontId="8" numFmtId="0" xfId="0" applyAlignment="1" applyBorder="1" applyFill="1" applyFont="1">
      <alignment horizontal="center" shrinkToFit="0" vertical="center" wrapText="0"/>
    </xf>
    <xf borderId="1" fillId="0" fontId="2" numFmtId="0" xfId="0" applyAlignment="1" applyBorder="1" applyFont="1">
      <alignment horizontal="left" shrinkToFit="0" vertical="center" wrapText="0"/>
    </xf>
    <xf borderId="1" fillId="0" fontId="9" numFmtId="166" xfId="0" applyAlignment="1" applyBorder="1" applyFont="1" applyNumberFormat="1">
      <alignment horizontal="center" shrinkToFit="0" vertical="center" wrapText="0"/>
    </xf>
    <xf borderId="1" fillId="0" fontId="9" numFmtId="9" xfId="0" applyAlignment="1" applyBorder="1" applyFont="1" applyNumberFormat="1">
      <alignment horizontal="center" shrinkToFit="0" vertical="center" wrapText="0"/>
    </xf>
    <xf borderId="1" fillId="0" fontId="8" numFmtId="0" xfId="0" applyAlignment="1" applyBorder="1" applyFont="1">
      <alignment horizontal="center" shrinkToFit="0" vertical="center" wrapText="0"/>
    </xf>
    <xf borderId="1" fillId="0" fontId="9" numFmtId="1" xfId="0" applyAlignment="1" applyBorder="1" applyFont="1" applyNumberFormat="1">
      <alignment horizontal="center" shrinkToFit="0" vertical="center" wrapText="0"/>
    </xf>
    <xf borderId="1" fillId="0" fontId="4" numFmtId="1" xfId="0" applyAlignment="1" applyBorder="1" applyFont="1" applyNumberFormat="1">
      <alignment horizontal="center" shrinkToFit="0" vertical="center" wrapText="0"/>
    </xf>
    <xf borderId="1" fillId="0" fontId="4" numFmtId="164" xfId="0" applyAlignment="1" applyBorder="1" applyFont="1" applyNumberFormat="1">
      <alignment horizontal="center" shrinkToFit="0" vertical="center" wrapText="0"/>
    </xf>
    <xf borderId="1" fillId="0" fontId="9" numFmtId="3" xfId="0" applyAlignment="1" applyBorder="1" applyFont="1" applyNumberFormat="1">
      <alignment horizontal="center" shrinkToFit="0" vertical="center" wrapText="0"/>
    </xf>
    <xf borderId="1" fillId="0" fontId="4" numFmtId="3" xfId="0" applyAlignment="1" applyBorder="1" applyFont="1" applyNumberFormat="1">
      <alignment horizontal="center" shrinkToFit="0" vertical="center" wrapText="0"/>
    </xf>
    <xf borderId="1" fillId="0" fontId="3" numFmtId="164" xfId="0" applyAlignment="1" applyBorder="1" applyFont="1" applyNumberFormat="1">
      <alignment horizontal="center" shrinkToFit="0" vertical="center" wrapText="0"/>
    </xf>
    <xf borderId="1" fillId="2" fontId="3" numFmtId="164" xfId="0" applyAlignment="1" applyBorder="1" applyFill="1" applyFont="1" applyNumberFormat="1">
      <alignment horizontal="center" shrinkToFit="0" vertical="center" wrapText="0"/>
    </xf>
    <xf borderId="1" fillId="3" fontId="5" numFmtId="164" xfId="0" applyAlignment="1" applyBorder="1" applyFill="1" applyFont="1" applyNumberFormat="1">
      <alignment horizontal="center"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6.0"/>
    <col customWidth="1" min="3" max="3" width="92.0"/>
    <col customWidth="1" min="4" max="26" width="8.71"/>
  </cols>
  <sheetData>
    <row r="1">
      <c r="A1" s="1" t="s">
        <v>0</v>
      </c>
    </row>
    <row r="2">
      <c r="A2" s="2" t="s">
        <v>1</v>
      </c>
    </row>
    <row r="4" ht="45.75" customHeight="1">
      <c r="B4" s="3" t="s">
        <v>2</v>
      </c>
      <c r="C4" s="4" t="s">
        <v>3</v>
      </c>
    </row>
    <row r="5" ht="45.75" customHeight="1">
      <c r="B5" s="3" t="s">
        <v>4</v>
      </c>
      <c r="C5" s="4" t="s">
        <v>5</v>
      </c>
    </row>
    <row r="6" ht="6.0" customHeight="1">
      <c r="B6" s="3"/>
      <c r="C6" s="4"/>
    </row>
    <row r="7">
      <c r="B7" s="5" t="s">
        <v>6</v>
      </c>
      <c r="C7" s="5" t="s">
        <v>7</v>
      </c>
    </row>
    <row r="8" ht="31.5" customHeight="1">
      <c r="B8" s="6" t="s">
        <v>8</v>
      </c>
      <c r="C8" s="4" t="s">
        <v>9</v>
      </c>
    </row>
    <row r="9" ht="31.5" customHeight="1">
      <c r="B9" s="6" t="s">
        <v>10</v>
      </c>
      <c r="C9" s="4" t="s">
        <v>11</v>
      </c>
    </row>
    <row r="10" ht="31.5" customHeight="1">
      <c r="B10" s="6" t="s">
        <v>12</v>
      </c>
      <c r="C10" s="4" t="s">
        <v>13</v>
      </c>
    </row>
    <row r="11" ht="31.5" customHeight="1">
      <c r="B11" s="6" t="s">
        <v>14</v>
      </c>
      <c r="C11" s="4" t="s">
        <v>15</v>
      </c>
    </row>
    <row r="12" ht="31.5" customHeight="1">
      <c r="B12" s="6" t="s">
        <v>16</v>
      </c>
      <c r="C12" s="4" t="s">
        <v>17</v>
      </c>
    </row>
    <row r="13" ht="31.5" customHeight="1">
      <c r="B13" s="6" t="s">
        <v>18</v>
      </c>
      <c r="C13" s="4" t="s">
        <v>19</v>
      </c>
    </row>
    <row r="14" ht="31.5" customHeight="1">
      <c r="B14" s="6" t="s">
        <v>20</v>
      </c>
      <c r="C14" s="4" t="s">
        <v>21</v>
      </c>
    </row>
    <row r="16">
      <c r="B16" s="7" t="s">
        <v>22</v>
      </c>
      <c r="C16" s="8"/>
    </row>
    <row r="17">
      <c r="B17" s="9" t="s">
        <v>23</v>
      </c>
      <c r="C17" s="4" t="s">
        <v>24</v>
      </c>
    </row>
    <row r="18">
      <c r="B18" s="6" t="s">
        <v>25</v>
      </c>
      <c r="C18" s="4" t="s">
        <v>26</v>
      </c>
    </row>
    <row r="19">
      <c r="B19" s="10" t="s">
        <v>27</v>
      </c>
      <c r="C19" s="4" t="s">
        <v>28</v>
      </c>
    </row>
    <row r="20">
      <c r="B20" s="6" t="s">
        <v>29</v>
      </c>
      <c r="C20" s="4" t="s">
        <v>30</v>
      </c>
    </row>
    <row r="21" ht="15.75" customHeight="1"/>
    <row r="22" ht="43.5" customHeight="1">
      <c r="B22" s="6" t="s">
        <v>31</v>
      </c>
      <c r="C22" s="4" t="s">
        <v>32</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C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30.0"/>
    <col customWidth="1" min="3" max="5" width="16.0"/>
    <col customWidth="1" min="6" max="7" width="18.0"/>
    <col customWidth="1" min="8" max="26" width="8.71"/>
  </cols>
  <sheetData>
    <row r="1">
      <c r="A1" s="1" t="s">
        <v>33</v>
      </c>
    </row>
    <row r="2">
      <c r="A2" s="11" t="s">
        <v>34</v>
      </c>
    </row>
    <row r="4">
      <c r="B4" s="5" t="s">
        <v>35</v>
      </c>
      <c r="C4" s="5" t="s">
        <v>36</v>
      </c>
      <c r="D4" s="5" t="s">
        <v>37</v>
      </c>
      <c r="E4" s="5" t="s">
        <v>38</v>
      </c>
      <c r="F4" s="5" t="s">
        <v>39</v>
      </c>
    </row>
    <row r="5">
      <c r="B5" s="6" t="s">
        <v>40</v>
      </c>
      <c r="C5" s="12">
        <v>49.0</v>
      </c>
      <c r="D5" s="12">
        <v>499.0</v>
      </c>
      <c r="E5" s="12">
        <v>1999.0</v>
      </c>
      <c r="F5" s="12">
        <v>8500.0</v>
      </c>
    </row>
    <row r="6">
      <c r="B6" s="13" t="s">
        <v>41</v>
      </c>
      <c r="C6" s="14">
        <f>Pricing!C5*Accelerators!$C$5*Accelerators!$C$6</f>
        <v>1940.4</v>
      </c>
      <c r="D6" s="14">
        <f>Pricing!D5*Accelerators!$C$5*Accelerators!$C$6</f>
        <v>19760.4</v>
      </c>
      <c r="E6" s="14">
        <f>Pricing!E5*Accelerators!$C$5*Accelerators!$C$6</f>
        <v>79160.4</v>
      </c>
      <c r="F6" s="14">
        <f>Pricing!F5*Accelerators!$C$5*Accelerators!$C$6</f>
        <v>336600</v>
      </c>
    </row>
    <row r="7">
      <c r="B7" s="13" t="s">
        <v>42</v>
      </c>
      <c r="C7" s="15">
        <f>Pricing!C5*12</f>
        <v>588</v>
      </c>
      <c r="D7" s="15">
        <f>Pricing!D5*12</f>
        <v>5988</v>
      </c>
      <c r="E7" s="15">
        <f>Pricing!E5*12</f>
        <v>23988</v>
      </c>
      <c r="F7" s="15">
        <f>Pricing!F5*12</f>
        <v>102000</v>
      </c>
    </row>
    <row r="9">
      <c r="B9" s="16" t="s">
        <v>43</v>
      </c>
      <c r="C9" s="17"/>
      <c r="D9" s="17"/>
      <c r="E9" s="17"/>
      <c r="F9" s="17"/>
    </row>
    <row r="10">
      <c r="B10" s="13" t="s">
        <v>44</v>
      </c>
      <c r="C10" s="18">
        <v>1.0</v>
      </c>
      <c r="D10" s="18">
        <v>3.0</v>
      </c>
      <c r="E10" s="18">
        <v>5.0</v>
      </c>
      <c r="F10" s="18">
        <v>10.0</v>
      </c>
    </row>
    <row r="11">
      <c r="B11" s="13" t="s">
        <v>45</v>
      </c>
      <c r="C11" s="18">
        <v>0.0</v>
      </c>
      <c r="D11" s="18">
        <v>5.0</v>
      </c>
      <c r="E11" s="18">
        <v>20.0</v>
      </c>
      <c r="F11" s="18">
        <v>50.0</v>
      </c>
    </row>
    <row r="12">
      <c r="B12" s="13" t="s">
        <v>46</v>
      </c>
      <c r="C12" s="18">
        <v>1.0</v>
      </c>
      <c r="D12" s="18">
        <v>5.0</v>
      </c>
      <c r="E12" s="18">
        <v>20.0</v>
      </c>
      <c r="F12" s="19" t="s">
        <v>47</v>
      </c>
    </row>
    <row r="13">
      <c r="B13" s="13" t="s">
        <v>48</v>
      </c>
      <c r="C13" s="20">
        <v>100.0</v>
      </c>
      <c r="D13" s="20">
        <v>1000.0</v>
      </c>
      <c r="E13" s="20">
        <v>10000.0</v>
      </c>
      <c r="F13" s="20">
        <v>100000.0</v>
      </c>
    </row>
    <row r="14">
      <c r="B14" s="13" t="s">
        <v>49</v>
      </c>
      <c r="C14" s="20">
        <v>200.0</v>
      </c>
      <c r="D14" s="20">
        <v>2000.0</v>
      </c>
      <c r="E14" s="20">
        <v>8000.0</v>
      </c>
      <c r="F14" s="20">
        <v>40000.0</v>
      </c>
    </row>
    <row r="15">
      <c r="B15" s="13" t="s">
        <v>50</v>
      </c>
      <c r="C15" s="18">
        <v>50.0</v>
      </c>
      <c r="D15" s="18">
        <v>300.0</v>
      </c>
      <c r="E15" s="18">
        <v>500.0</v>
      </c>
      <c r="F15" s="19" t="s">
        <v>51</v>
      </c>
    </row>
    <row r="17">
      <c r="B17" s="16" t="s">
        <v>52</v>
      </c>
      <c r="C17" s="17"/>
      <c r="D17" s="17"/>
      <c r="E17" s="17"/>
      <c r="F17" s="17"/>
    </row>
    <row r="18">
      <c r="B18" s="13" t="s">
        <v>53</v>
      </c>
      <c r="C18" s="19" t="s">
        <v>54</v>
      </c>
      <c r="D18" s="19" t="s">
        <v>54</v>
      </c>
      <c r="E18" s="19" t="s">
        <v>55</v>
      </c>
      <c r="F18" s="19" t="s">
        <v>55</v>
      </c>
    </row>
    <row r="19">
      <c r="B19" s="13" t="s">
        <v>56</v>
      </c>
      <c r="C19" s="19" t="s">
        <v>54</v>
      </c>
      <c r="D19" s="19" t="s">
        <v>54</v>
      </c>
      <c r="E19" s="19" t="s">
        <v>57</v>
      </c>
      <c r="F19" s="19" t="s">
        <v>58</v>
      </c>
    </row>
    <row r="20">
      <c r="B20" s="13" t="s">
        <v>59</v>
      </c>
      <c r="C20" s="19" t="s">
        <v>54</v>
      </c>
      <c r="D20" s="19" t="s">
        <v>54</v>
      </c>
      <c r="E20" s="19" t="s">
        <v>55</v>
      </c>
      <c r="F20" s="19" t="s">
        <v>55</v>
      </c>
    </row>
    <row r="21" ht="15.75" customHeight="1">
      <c r="B21" s="13" t="s">
        <v>60</v>
      </c>
      <c r="C21" s="19" t="s">
        <v>61</v>
      </c>
      <c r="D21" s="19" t="s">
        <v>61</v>
      </c>
      <c r="E21" s="19" t="s">
        <v>62</v>
      </c>
      <c r="F21" s="19" t="s">
        <v>63</v>
      </c>
    </row>
    <row r="22" ht="15.75" customHeight="1">
      <c r="B22" s="13" t="s">
        <v>64</v>
      </c>
      <c r="C22" s="19" t="s">
        <v>54</v>
      </c>
      <c r="D22" s="19" t="s">
        <v>54</v>
      </c>
      <c r="E22" s="19" t="s">
        <v>38</v>
      </c>
      <c r="F22" s="19" t="s">
        <v>51</v>
      </c>
    </row>
    <row r="23" ht="15.75" customHeight="1">
      <c r="B23" s="13" t="s">
        <v>65</v>
      </c>
      <c r="C23" s="19" t="s">
        <v>66</v>
      </c>
      <c r="D23" s="19" t="s">
        <v>67</v>
      </c>
      <c r="E23" s="19" t="s">
        <v>67</v>
      </c>
      <c r="F23" s="19" t="s">
        <v>68</v>
      </c>
    </row>
    <row r="24" ht="15.75" customHeight="1">
      <c r="B24" s="13" t="s">
        <v>69</v>
      </c>
      <c r="C24" s="19" t="s">
        <v>70</v>
      </c>
      <c r="D24" s="19" t="s">
        <v>70</v>
      </c>
      <c r="E24" s="19" t="s">
        <v>71</v>
      </c>
      <c r="F24" s="19" t="s">
        <v>72</v>
      </c>
    </row>
    <row r="25" ht="15.75" customHeight="1"/>
    <row r="26" ht="45.75" customHeight="1">
      <c r="B26" s="21" t="s">
        <v>73</v>
      </c>
      <c r="C26" s="22"/>
      <c r="D26" s="22"/>
      <c r="E26" s="22"/>
      <c r="F26" s="22"/>
      <c r="G26" s="23"/>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6:G26"/>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16.0"/>
    <col customWidth="1" min="3" max="3" width="34.0"/>
    <col customWidth="1" min="4" max="5" width="30.0"/>
    <col customWidth="1" min="6" max="6" width="26.0"/>
    <col customWidth="1" min="7" max="26" width="8.71"/>
  </cols>
  <sheetData>
    <row r="1">
      <c r="A1" s="1" t="s">
        <v>74</v>
      </c>
    </row>
    <row r="2">
      <c r="A2" s="11" t="s">
        <v>75</v>
      </c>
    </row>
    <row r="4">
      <c r="B4" s="5" t="s">
        <v>76</v>
      </c>
      <c r="C4" s="5" t="s">
        <v>77</v>
      </c>
      <c r="D4" s="5" t="s">
        <v>78</v>
      </c>
      <c r="E4" s="5" t="s">
        <v>79</v>
      </c>
      <c r="F4" s="5" t="s">
        <v>80</v>
      </c>
    </row>
    <row r="5" ht="103.5" customHeight="1">
      <c r="B5" s="24" t="s">
        <v>36</v>
      </c>
      <c r="C5" s="4" t="s">
        <v>81</v>
      </c>
      <c r="D5" s="4" t="s">
        <v>82</v>
      </c>
      <c r="E5" s="4" t="s">
        <v>83</v>
      </c>
      <c r="F5" s="4" t="s">
        <v>84</v>
      </c>
    </row>
    <row r="6" ht="103.5" customHeight="1">
      <c r="B6" s="24" t="s">
        <v>85</v>
      </c>
      <c r="C6" s="4" t="s">
        <v>86</v>
      </c>
      <c r="D6" s="4" t="s">
        <v>87</v>
      </c>
      <c r="E6" s="4" t="s">
        <v>88</v>
      </c>
      <c r="F6" s="4" t="s">
        <v>89</v>
      </c>
    </row>
    <row r="7" ht="103.5" customHeight="1">
      <c r="B7" s="24" t="s">
        <v>39</v>
      </c>
      <c r="C7" s="4" t="s">
        <v>90</v>
      </c>
      <c r="D7" s="4" t="s">
        <v>91</v>
      </c>
      <c r="E7" s="4" t="s">
        <v>92</v>
      </c>
      <c r="F7" s="4" t="s">
        <v>93</v>
      </c>
    </row>
    <row r="9">
      <c r="B9" s="25" t="s">
        <v>94</v>
      </c>
      <c r="C9" s="22"/>
      <c r="D9" s="22"/>
      <c r="E9" s="22"/>
      <c r="F9" s="23"/>
    </row>
    <row r="10" ht="43.5" customHeight="1">
      <c r="B10" s="26" t="s">
        <v>95</v>
      </c>
      <c r="C10" s="22"/>
      <c r="D10" s="22"/>
      <c r="E10" s="22"/>
      <c r="F10" s="23"/>
    </row>
    <row r="11" ht="43.5" customHeight="1">
      <c r="B11" s="26" t="s">
        <v>96</v>
      </c>
      <c r="C11" s="22"/>
      <c r="D11" s="22"/>
      <c r="E11" s="22"/>
      <c r="F11" s="23"/>
    </row>
    <row r="12" ht="43.5" customHeight="1">
      <c r="B12" s="26" t="s">
        <v>97</v>
      </c>
      <c r="C12" s="22"/>
      <c r="D12" s="22"/>
      <c r="E12" s="22"/>
      <c r="F12" s="23"/>
    </row>
    <row r="13" ht="43.5" customHeight="1">
      <c r="B13" s="26" t="s">
        <v>98</v>
      </c>
      <c r="C13" s="22"/>
      <c r="D13" s="22"/>
      <c r="E13" s="22"/>
      <c r="F13" s="2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9:F9"/>
    <mergeCell ref="B10:F10"/>
    <mergeCell ref="B11:F11"/>
    <mergeCell ref="B12:F12"/>
    <mergeCell ref="B13:F13"/>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18.0"/>
    <col customWidth="1" min="3" max="3" width="22.0"/>
    <col customWidth="1" min="4" max="5" width="30.0"/>
    <col customWidth="1" min="6" max="6" width="40.0"/>
    <col customWidth="1" min="7" max="26" width="8.71"/>
  </cols>
  <sheetData>
    <row r="1">
      <c r="A1" s="1" t="s">
        <v>99</v>
      </c>
    </row>
    <row r="2">
      <c r="A2" s="11" t="s">
        <v>100</v>
      </c>
    </row>
    <row r="4">
      <c r="B4" s="5" t="s">
        <v>101</v>
      </c>
      <c r="C4" s="5" t="s">
        <v>102</v>
      </c>
      <c r="D4" s="5" t="s">
        <v>103</v>
      </c>
      <c r="E4" s="5" t="s">
        <v>104</v>
      </c>
      <c r="F4" s="5" t="s">
        <v>105</v>
      </c>
    </row>
    <row r="5" ht="57.75" customHeight="1">
      <c r="B5" s="24" t="s">
        <v>106</v>
      </c>
      <c r="C5" s="4" t="s">
        <v>107</v>
      </c>
      <c r="D5" s="4" t="s">
        <v>108</v>
      </c>
      <c r="E5" s="4" t="s">
        <v>109</v>
      </c>
      <c r="F5" s="4" t="s">
        <v>110</v>
      </c>
    </row>
    <row r="6" ht="57.75" customHeight="1">
      <c r="B6" s="27" t="s">
        <v>111</v>
      </c>
      <c r="C6" s="28" t="s">
        <v>112</v>
      </c>
      <c r="D6" s="28" t="s">
        <v>113</v>
      </c>
      <c r="E6" s="28" t="s">
        <v>114</v>
      </c>
      <c r="F6" s="28" t="s">
        <v>115</v>
      </c>
    </row>
    <row r="7" ht="57.75" customHeight="1">
      <c r="B7" s="24" t="s">
        <v>116</v>
      </c>
      <c r="C7" s="4" t="s">
        <v>117</v>
      </c>
      <c r="D7" s="4" t="s">
        <v>118</v>
      </c>
      <c r="E7" s="4" t="s">
        <v>119</v>
      </c>
      <c r="F7" s="4" t="s">
        <v>120</v>
      </c>
    </row>
    <row r="8" ht="57.75" customHeight="1">
      <c r="B8" s="27" t="s">
        <v>121</v>
      </c>
      <c r="C8" s="28" t="s">
        <v>122</v>
      </c>
      <c r="D8" s="28" t="s">
        <v>123</v>
      </c>
      <c r="E8" s="28" t="s">
        <v>124</v>
      </c>
      <c r="F8" s="28" t="s">
        <v>125</v>
      </c>
    </row>
    <row r="9" ht="57.75" customHeight="1">
      <c r="B9" s="24" t="s">
        <v>126</v>
      </c>
      <c r="C9" s="4" t="s">
        <v>127</v>
      </c>
      <c r="D9" s="4" t="s">
        <v>128</v>
      </c>
      <c r="E9" s="4" t="s">
        <v>129</v>
      </c>
      <c r="F9" s="4" t="s">
        <v>130</v>
      </c>
    </row>
    <row r="10" ht="57.75" customHeight="1">
      <c r="B10" s="27" t="s">
        <v>131</v>
      </c>
      <c r="C10" s="28" t="s">
        <v>132</v>
      </c>
      <c r="D10" s="28" t="s">
        <v>133</v>
      </c>
      <c r="E10" s="28" t="s">
        <v>134</v>
      </c>
      <c r="F10" s="28" t="s">
        <v>135</v>
      </c>
    </row>
    <row r="11" ht="57.75" customHeight="1">
      <c r="B11" s="24" t="s">
        <v>136</v>
      </c>
      <c r="C11" s="4" t="s">
        <v>137</v>
      </c>
      <c r="D11" s="4" t="s">
        <v>138</v>
      </c>
      <c r="E11" s="4" t="s">
        <v>139</v>
      </c>
      <c r="F11" s="4" t="s">
        <v>140</v>
      </c>
    </row>
    <row r="12" ht="72.0" customHeight="1">
      <c r="B12" s="29" t="s">
        <v>141</v>
      </c>
      <c r="C12" s="30" t="s">
        <v>142</v>
      </c>
      <c r="D12" s="30" t="s">
        <v>143</v>
      </c>
      <c r="E12" s="30" t="s">
        <v>144</v>
      </c>
      <c r="F12" s="30" t="s">
        <v>145</v>
      </c>
    </row>
    <row r="14">
      <c r="B14" s="6" t="s">
        <v>146</v>
      </c>
    </row>
    <row r="15" ht="15.75" customHeight="1">
      <c r="B15" s="26" t="s">
        <v>147</v>
      </c>
      <c r="C15" s="22"/>
      <c r="D15" s="22"/>
      <c r="E15" s="22"/>
      <c r="F15" s="23"/>
    </row>
    <row r="16" ht="15.75" customHeight="1">
      <c r="B16" s="26" t="s">
        <v>148</v>
      </c>
      <c r="C16" s="22"/>
      <c r="D16" s="22"/>
      <c r="E16" s="22"/>
      <c r="F16" s="23"/>
    </row>
    <row r="17" ht="15.75" customHeight="1">
      <c r="B17" s="26" t="s">
        <v>149</v>
      </c>
      <c r="C17" s="22"/>
      <c r="D17" s="22"/>
      <c r="E17" s="22"/>
      <c r="F17" s="23"/>
    </row>
    <row r="18" ht="15.75" customHeight="1">
      <c r="B18" s="26" t="s">
        <v>150</v>
      </c>
      <c r="C18" s="22"/>
      <c r="D18" s="22"/>
      <c r="E18" s="22"/>
      <c r="F18" s="23"/>
    </row>
    <row r="19" ht="15.75" customHeight="1">
      <c r="B19" s="26" t="s">
        <v>151</v>
      </c>
      <c r="C19" s="22"/>
      <c r="D19" s="22"/>
      <c r="E19" s="22"/>
      <c r="F19" s="23"/>
    </row>
    <row r="20" ht="15.75" customHeight="1">
      <c r="B20" s="26" t="s">
        <v>152</v>
      </c>
      <c r="C20" s="22"/>
      <c r="D20" s="22"/>
      <c r="E20" s="22"/>
      <c r="F20" s="23"/>
    </row>
    <row r="21" ht="15.75" customHeight="1">
      <c r="B21" s="26" t="s">
        <v>153</v>
      </c>
      <c r="C21" s="22"/>
      <c r="D21" s="22"/>
      <c r="E21" s="22"/>
      <c r="F21" s="23"/>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15:F15"/>
    <mergeCell ref="B16:F16"/>
    <mergeCell ref="B17:F17"/>
    <mergeCell ref="B18:F18"/>
    <mergeCell ref="B19:F19"/>
    <mergeCell ref="B20:F20"/>
    <mergeCell ref="B21:F21"/>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34.0"/>
    <col customWidth="1" min="3" max="3" width="18.0"/>
    <col customWidth="1" min="4" max="4" width="60.0"/>
    <col customWidth="1" min="5" max="26" width="8.71"/>
  </cols>
  <sheetData>
    <row r="1">
      <c r="A1" s="1" t="s">
        <v>154</v>
      </c>
    </row>
    <row r="2">
      <c r="A2" s="11" t="s">
        <v>155</v>
      </c>
    </row>
    <row r="4">
      <c r="B4" s="5" t="s">
        <v>156</v>
      </c>
      <c r="C4" s="5" t="s">
        <v>157</v>
      </c>
      <c r="D4" s="5" t="s">
        <v>158</v>
      </c>
    </row>
    <row r="5" ht="27.75" customHeight="1">
      <c r="B5" s="13" t="s">
        <v>159</v>
      </c>
      <c r="C5" s="18">
        <v>1.0</v>
      </c>
      <c r="D5" s="4" t="s">
        <v>160</v>
      </c>
    </row>
    <row r="6" ht="27.75" customHeight="1">
      <c r="B6" s="31" t="s">
        <v>161</v>
      </c>
      <c r="C6" s="32">
        <v>1.0</v>
      </c>
      <c r="D6" s="28" t="s">
        <v>162</v>
      </c>
    </row>
    <row r="7" ht="27.75" customHeight="1">
      <c r="B7" s="13" t="s">
        <v>163</v>
      </c>
      <c r="C7" s="18">
        <v>5.0</v>
      </c>
      <c r="D7" s="4" t="s">
        <v>164</v>
      </c>
    </row>
    <row r="8" ht="27.75" customHeight="1">
      <c r="B8" s="31" t="s">
        <v>165</v>
      </c>
      <c r="C8" s="32">
        <v>10.0</v>
      </c>
      <c r="D8" s="28" t="s">
        <v>166</v>
      </c>
    </row>
    <row r="9" ht="27.75" customHeight="1">
      <c r="B9" s="13" t="s">
        <v>167</v>
      </c>
      <c r="C9" s="18">
        <v>20.0</v>
      </c>
      <c r="D9" s="4" t="s">
        <v>168</v>
      </c>
    </row>
    <row r="10" ht="27.75" customHeight="1">
      <c r="B10" s="31" t="s">
        <v>169</v>
      </c>
      <c r="C10" s="32">
        <v>8.0</v>
      </c>
      <c r="D10" s="28" t="s">
        <v>170</v>
      </c>
    </row>
    <row r="11" ht="27.75" customHeight="1">
      <c r="B11" s="13" t="s">
        <v>171</v>
      </c>
      <c r="C11" s="18">
        <v>1.0</v>
      </c>
      <c r="D11" s="4" t="s">
        <v>172</v>
      </c>
    </row>
    <row r="12" ht="27.75" customHeight="1">
      <c r="B12" s="31" t="s">
        <v>173</v>
      </c>
      <c r="C12" s="32">
        <v>0.0</v>
      </c>
      <c r="D12" s="28" t="s">
        <v>174</v>
      </c>
    </row>
    <row r="15">
      <c r="B15" s="16" t="s">
        <v>175</v>
      </c>
      <c r="C15" s="33"/>
      <c r="D15" s="33"/>
    </row>
    <row r="16">
      <c r="B16" s="13" t="s">
        <v>176</v>
      </c>
      <c r="C16" s="34">
        <f>Accelerators!$C$9</f>
        <v>80</v>
      </c>
      <c r="D16" s="4" t="s">
        <v>177</v>
      </c>
    </row>
    <row r="17" ht="30.0" customHeight="1">
      <c r="B17" s="13" t="s">
        <v>178</v>
      </c>
      <c r="C17" s="34">
        <f>Accelerators!$C$10</f>
        <v>50</v>
      </c>
      <c r="D17" s="4" t="s">
        <v>179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34.0"/>
    <col customWidth="1" min="3" max="4" width="16.0"/>
    <col customWidth="1" min="5" max="5" width="46.0"/>
    <col customWidth="1" min="6" max="26" width="8.71"/>
  </cols>
  <sheetData>
    <row r="1">
      <c r="A1" s="1" t="s">
        <v>180</v>
      </c>
    </row>
    <row r="2">
      <c r="A2" s="11" t="s">
        <v>181</v>
      </c>
    </row>
    <row r="4">
      <c r="B4" s="29" t="s">
        <v>182</v>
      </c>
      <c r="C4" s="35" t="s">
        <v>183</v>
      </c>
      <c r="D4" s="36"/>
      <c r="E4" s="29" t="s">
        <v>31</v>
      </c>
    </row>
    <row r="5">
      <c r="B5" s="8" t="s">
        <v>184</v>
      </c>
      <c r="C5" s="37">
        <v>88.0</v>
      </c>
      <c r="E5" s="38" t="s">
        <v>185</v>
      </c>
    </row>
    <row r="6">
      <c r="B6" s="8" t="s">
        <v>186</v>
      </c>
      <c r="C6" s="39">
        <v>0.45</v>
      </c>
      <c r="E6" s="38" t="s">
        <v>187</v>
      </c>
    </row>
    <row r="7">
      <c r="B7" s="8" t="s">
        <v>188</v>
      </c>
      <c r="C7" s="39">
        <v>0.15</v>
      </c>
      <c r="E7" s="38" t="s">
        <v>189</v>
      </c>
    </row>
    <row r="8">
      <c r="B8" s="8" t="s">
        <v>190</v>
      </c>
      <c r="C8" s="39">
        <v>0.25</v>
      </c>
      <c r="E8" s="38" t="s">
        <v>191</v>
      </c>
    </row>
    <row r="9">
      <c r="B9" s="8" t="s">
        <v>192</v>
      </c>
      <c r="C9" s="40">
        <v>80.0</v>
      </c>
      <c r="E9" s="38" t="s">
        <v>193</v>
      </c>
    </row>
    <row r="10">
      <c r="B10" s="8" t="s">
        <v>194</v>
      </c>
      <c r="C10" s="40">
        <v>50.0</v>
      </c>
      <c r="E10" s="38" t="s">
        <v>195</v>
      </c>
    </row>
    <row r="12">
      <c r="B12" s="5" t="s">
        <v>196</v>
      </c>
      <c r="C12" s="5" t="s">
        <v>197</v>
      </c>
      <c r="D12" s="5" t="s">
        <v>198</v>
      </c>
      <c r="E12" s="5" t="s">
        <v>199</v>
      </c>
    </row>
    <row r="13">
      <c r="B13" s="13" t="s">
        <v>200</v>
      </c>
      <c r="C13" s="12">
        <v>150.0</v>
      </c>
      <c r="D13" s="14">
        <f>$C$13*Accelerators!$C$5*Accelerators!$C$6</f>
        <v>5940</v>
      </c>
      <c r="E13" s="41" t="s">
        <v>201</v>
      </c>
    </row>
    <row r="14">
      <c r="B14" s="31" t="s">
        <v>202</v>
      </c>
      <c r="C14" s="42">
        <v>40.0</v>
      </c>
      <c r="D14" s="43">
        <f>$C$14*Accelerators!$C$5*Accelerators!$C$6</f>
        <v>1584</v>
      </c>
      <c r="E14" s="28" t="s">
        <v>203</v>
      </c>
    </row>
    <row r="15">
      <c r="B15" s="13" t="s">
        <v>204</v>
      </c>
      <c r="C15" s="12">
        <v>25.0</v>
      </c>
      <c r="D15" s="14">
        <f>$C$15*Accelerators!$C$5*Accelerators!$C$6</f>
        <v>990</v>
      </c>
      <c r="E15" s="4" t="s">
        <v>205</v>
      </c>
    </row>
    <row r="16">
      <c r="B16" s="31" t="s">
        <v>206</v>
      </c>
      <c r="C16" s="42">
        <v>30.0</v>
      </c>
      <c r="D16" s="43">
        <f>$C$16*Accelerators!$C$5*Accelerators!$C$6</f>
        <v>1188</v>
      </c>
      <c r="E16" s="28" t="s">
        <v>207</v>
      </c>
    </row>
    <row r="17">
      <c r="B17" s="13" t="s">
        <v>208</v>
      </c>
      <c r="C17" s="12">
        <v>75.0</v>
      </c>
      <c r="D17" s="14">
        <f>$C$17*Accelerators!$C$5*Accelerators!$C$6</f>
        <v>2970</v>
      </c>
      <c r="E17" s="4" t="s">
        <v>209</v>
      </c>
    </row>
    <row r="18">
      <c r="B18" s="31" t="s">
        <v>210</v>
      </c>
      <c r="C18" s="42">
        <v>60.0</v>
      </c>
      <c r="D18" s="43">
        <f>$C$18*Accelerators!$C$5*Accelerators!$C$6</f>
        <v>2376</v>
      </c>
      <c r="E18" s="28" t="s">
        <v>211</v>
      </c>
    </row>
    <row r="19">
      <c r="B19" s="13" t="s">
        <v>212</v>
      </c>
      <c r="C19" s="12">
        <v>250.0</v>
      </c>
      <c r="D19" s="14">
        <f>$C$19*Accelerators!$C$5*Accelerators!$C$6</f>
        <v>9900</v>
      </c>
      <c r="E19" s="4" t="s">
        <v>213</v>
      </c>
    </row>
    <row r="20">
      <c r="B20" s="31" t="s">
        <v>214</v>
      </c>
      <c r="C20" s="42">
        <v>400.0</v>
      </c>
      <c r="D20" s="43">
        <f>$C$20*Accelerators!$C$5*Accelerators!$C$6</f>
        <v>15840</v>
      </c>
      <c r="E20" s="28" t="s">
        <v>215</v>
      </c>
    </row>
    <row r="22">
      <c r="B22" s="5" t="s">
        <v>216</v>
      </c>
      <c r="C22" s="5" t="s">
        <v>217</v>
      </c>
      <c r="D22" s="5" t="s">
        <v>218</v>
      </c>
      <c r="E22" s="5" t="s">
        <v>219</v>
      </c>
    </row>
    <row r="23">
      <c r="B23" s="13" t="s">
        <v>220</v>
      </c>
      <c r="C23" s="44">
        <v>1.0</v>
      </c>
      <c r="D23" s="12">
        <v>0.0</v>
      </c>
      <c r="E23" s="4" t="s">
        <v>221</v>
      </c>
    </row>
    <row r="24">
      <c r="B24" s="13" t="s">
        <v>222</v>
      </c>
      <c r="C24" s="44">
        <v>1.35</v>
      </c>
      <c r="D24" s="12">
        <v>15000.0</v>
      </c>
      <c r="E24" s="4" t="s">
        <v>223</v>
      </c>
    </row>
    <row r="25">
      <c r="B25" s="13" t="s">
        <v>224</v>
      </c>
      <c r="C25" s="44">
        <v>1.75</v>
      </c>
      <c r="D25" s="12">
        <v>40000.0</v>
      </c>
      <c r="E25" s="4" t="s">
        <v>225</v>
      </c>
    </row>
    <row r="26">
      <c r="B26" s="13" t="s">
        <v>226</v>
      </c>
      <c r="C26" s="44">
        <v>2.25</v>
      </c>
      <c r="D26" s="12">
        <v>90000.0</v>
      </c>
      <c r="E26" s="4" t="s">
        <v>227</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49.57"/>
    <col customWidth="1" min="3" max="5" width="15.0"/>
    <col customWidth="1" min="6" max="6" width="16.0"/>
    <col customWidth="1" min="7" max="7" width="69.29"/>
    <col customWidth="1" min="8" max="26" width="8.71"/>
  </cols>
  <sheetData>
    <row r="1">
      <c r="A1" s="1" t="s">
        <v>228</v>
      </c>
    </row>
    <row r="2">
      <c r="A2" s="11" t="s">
        <v>229</v>
      </c>
    </row>
    <row r="4">
      <c r="B4" s="35" t="s">
        <v>230</v>
      </c>
      <c r="C4" s="35" t="s">
        <v>231</v>
      </c>
      <c r="D4" s="35" t="s">
        <v>232</v>
      </c>
      <c r="E4" s="35" t="s">
        <v>233</v>
      </c>
      <c r="F4" s="35" t="s">
        <v>234</v>
      </c>
      <c r="G4" s="35" t="s">
        <v>235</v>
      </c>
    </row>
    <row r="5" ht="54.0" customHeight="1">
      <c r="B5" s="6" t="s">
        <v>236</v>
      </c>
      <c r="C5" s="12">
        <v>2000.0</v>
      </c>
      <c r="D5" s="12">
        <v>5000.0</v>
      </c>
      <c r="E5" s="12">
        <v>12000.0</v>
      </c>
      <c r="F5" s="12">
        <v>0.0</v>
      </c>
      <c r="G5" s="4" t="s">
        <v>237</v>
      </c>
    </row>
    <row r="6" ht="54.0" customHeight="1">
      <c r="B6" s="45" t="s">
        <v>238</v>
      </c>
      <c r="C6" s="42">
        <v>3000.0</v>
      </c>
      <c r="D6" s="42">
        <v>7000.0</v>
      </c>
      <c r="E6" s="42">
        <v>18000.0</v>
      </c>
      <c r="F6" s="42">
        <v>150.0</v>
      </c>
      <c r="G6" s="28" t="s">
        <v>239</v>
      </c>
    </row>
    <row r="7" ht="54.0" customHeight="1">
      <c r="B7" s="6" t="s">
        <v>240</v>
      </c>
      <c r="C7" s="34">
        <f>Accelerators!$D$24</f>
        <v>15000</v>
      </c>
      <c r="D7" s="34">
        <f>Accelerators!$D$25</f>
        <v>40000</v>
      </c>
      <c r="E7" s="34">
        <f>Accelerators!$D$26</f>
        <v>90000</v>
      </c>
      <c r="F7" s="12">
        <v>0.0</v>
      </c>
      <c r="G7" s="4" t="s">
        <v>241</v>
      </c>
    </row>
    <row r="8" ht="54.0" customHeight="1">
      <c r="B8" s="45" t="s">
        <v>242</v>
      </c>
      <c r="C8" s="42">
        <v>3000.0</v>
      </c>
      <c r="D8" s="42">
        <v>8000.0</v>
      </c>
      <c r="E8" s="42">
        <v>20000.0</v>
      </c>
      <c r="F8" s="42">
        <v>0.0</v>
      </c>
      <c r="G8" s="28" t="s">
        <v>243</v>
      </c>
    </row>
    <row r="9" ht="54.0" customHeight="1">
      <c r="B9" s="6" t="s">
        <v>244</v>
      </c>
      <c r="C9" s="12">
        <v>25000.0</v>
      </c>
      <c r="D9" s="12">
        <v>60000.0</v>
      </c>
      <c r="E9" s="12">
        <v>150000.0</v>
      </c>
      <c r="F9" s="12">
        <v>0.0</v>
      </c>
      <c r="G9" s="4" t="s">
        <v>245</v>
      </c>
    </row>
    <row r="10" ht="54.0" customHeight="1">
      <c r="B10" s="45" t="s">
        <v>246</v>
      </c>
      <c r="C10" s="42">
        <v>5000.0</v>
      </c>
      <c r="D10" s="42">
        <v>15000.0</v>
      </c>
      <c r="E10" s="42">
        <v>40000.0</v>
      </c>
      <c r="F10" s="42">
        <v>0.0</v>
      </c>
      <c r="G10" s="28" t="s">
        <v>247</v>
      </c>
    </row>
    <row r="11" ht="54.0" customHeight="1">
      <c r="B11" s="6" t="s">
        <v>248</v>
      </c>
      <c r="C11" s="12">
        <v>10000.0</v>
      </c>
      <c r="D11" s="12">
        <v>30000.0</v>
      </c>
      <c r="E11" s="12">
        <v>80000.0</v>
      </c>
      <c r="F11" s="12">
        <v>0.0</v>
      </c>
      <c r="G11" s="4" t="s">
        <v>249</v>
      </c>
    </row>
    <row r="12" ht="54.0" customHeight="1">
      <c r="B12" s="45" t="s">
        <v>250</v>
      </c>
      <c r="C12" s="42">
        <v>8000.0</v>
      </c>
      <c r="D12" s="42">
        <v>25000.0</v>
      </c>
      <c r="E12" s="42">
        <v>75000.0</v>
      </c>
      <c r="F12" s="42">
        <v>0.0</v>
      </c>
      <c r="G12" s="28" t="s">
        <v>251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34.0"/>
    <col customWidth="1" min="3" max="3" width="16.0"/>
    <col customWidth="1" min="4" max="4" width="14.0"/>
    <col customWidth="1" min="5" max="6" width="16.0"/>
    <col customWidth="1" min="7" max="7" width="40.0"/>
    <col customWidth="1" min="8" max="26" width="8.71"/>
  </cols>
  <sheetData>
    <row r="1">
      <c r="A1" s="1" t="s">
        <v>252</v>
      </c>
    </row>
    <row r="2">
      <c r="A2" s="11" t="s">
        <v>253</v>
      </c>
    </row>
    <row r="4">
      <c r="B4" s="29" t="s">
        <v>254</v>
      </c>
      <c r="C4" s="36"/>
      <c r="D4" s="36"/>
      <c r="E4" s="36"/>
      <c r="F4" s="36"/>
      <c r="G4" s="36"/>
    </row>
    <row r="5">
      <c r="B5" s="8" t="s">
        <v>255</v>
      </c>
      <c r="C5" s="46" t="s">
        <v>38</v>
      </c>
      <c r="G5" s="47" t="s">
        <v>256</v>
      </c>
    </row>
    <row r="6">
      <c r="B6" s="8" t="s">
        <v>257</v>
      </c>
      <c r="C6" s="46" t="s">
        <v>222</v>
      </c>
      <c r="G6" s="47" t="s">
        <v>258</v>
      </c>
    </row>
    <row r="7">
      <c r="B7" s="8" t="s">
        <v>259</v>
      </c>
      <c r="C7" s="46" t="s">
        <v>260</v>
      </c>
      <c r="G7" s="47" t="s">
        <v>261</v>
      </c>
    </row>
    <row r="9">
      <c r="B9" s="13" t="s">
        <v>262</v>
      </c>
      <c r="C9" s="48">
        <f t="array" ref="C9">INDEX(Accelerators!$C$23:$C$26,MATCH(C6,Accelerators!$B$23:$B$26,0))</f>
        <v>1.35</v>
      </c>
    </row>
    <row r="10">
      <c r="B10" s="13" t="s">
        <v>263</v>
      </c>
      <c r="C10" s="49">
        <f>IF(C7="3-year",Accelerators!$C$8,IF(C7="Annual",Accelerators!$C$7,0))</f>
        <v>0.15</v>
      </c>
    </row>
    <row r="11">
      <c r="B11" s="13" t="s">
        <v>40</v>
      </c>
      <c r="C11" s="34">
        <f t="array" ref="C11">INDEX(Pricing!$C$5:$F$5,MATCH(C5,Pricing!$C$4:$F$4,0))</f>
        <v>1999</v>
      </c>
    </row>
    <row r="13">
      <c r="B13" s="29" t="s">
        <v>264</v>
      </c>
      <c r="C13" s="36"/>
      <c r="D13" s="36"/>
      <c r="E13" s="36"/>
      <c r="F13" s="36"/>
      <c r="G13" s="36"/>
    </row>
    <row r="14">
      <c r="B14" s="6" t="s">
        <v>265</v>
      </c>
      <c r="C14" s="15" t="s">
        <v>266</v>
      </c>
      <c r="D14" s="15" t="s">
        <v>267</v>
      </c>
      <c r="E14" s="15" t="s">
        <v>268</v>
      </c>
      <c r="F14" s="15" t="s">
        <v>269</v>
      </c>
      <c r="G14" s="6" t="s">
        <v>270</v>
      </c>
    </row>
    <row r="15">
      <c r="B15" s="13" t="s">
        <v>271</v>
      </c>
      <c r="C15" s="50">
        <v>8.0</v>
      </c>
      <c r="D15" s="51">
        <f t="array" ref="D15">INDEX(Pricing!$C$10:$F$10,MATCH(C5,Pricing!$C$4:$F$4,0))</f>
        <v>5</v>
      </c>
      <c r="E15" s="52">
        <f t="shared" ref="E15:E17" si="1">MAX(0,C15-D15)</f>
        <v>3</v>
      </c>
      <c r="F15" s="53">
        <f>E15*Accelerators!$C$13</f>
        <v>450</v>
      </c>
      <c r="G15" s="47" t="s">
        <v>200</v>
      </c>
    </row>
    <row r="16">
      <c r="B16" s="13" t="s">
        <v>272</v>
      </c>
      <c r="C16" s="50">
        <v>25.0</v>
      </c>
      <c r="D16" s="51">
        <f t="array" ref="D16">INDEX(Pricing!$C$11:$F$11,MATCH(C5,Pricing!$C$4:$F$4,0))</f>
        <v>20</v>
      </c>
      <c r="E16" s="52">
        <f t="shared" si="1"/>
        <v>5</v>
      </c>
      <c r="F16" s="53">
        <f>E16*Accelerators!$C$14</f>
        <v>200</v>
      </c>
      <c r="G16" s="47" t="s">
        <v>202</v>
      </c>
    </row>
    <row r="17">
      <c r="B17" s="13" t="s">
        <v>273</v>
      </c>
      <c r="C17" s="20">
        <v>15000.0</v>
      </c>
      <c r="D17" s="54">
        <f t="array" ref="D17">INDEX(Pricing!$C$14:$F$14,MATCH(C5,Pricing!$C$4:$F$4,0))</f>
        <v>8000</v>
      </c>
      <c r="E17" s="55">
        <f t="shared" si="1"/>
        <v>7000</v>
      </c>
      <c r="F17" s="53">
        <f>E17/1000*(IF(C7="Monthly",Accelerators!$C$9,Accelerators!$C$10))</f>
        <v>350</v>
      </c>
      <c r="G17" s="47" t="s">
        <v>274</v>
      </c>
    </row>
    <row r="18">
      <c r="B18" s="13" t="s">
        <v>275</v>
      </c>
      <c r="C18" s="18">
        <v>10.0</v>
      </c>
      <c r="D18" s="19" t="s">
        <v>276</v>
      </c>
      <c r="E18" s="52">
        <f t="shared" ref="E18:E23" si="2">C18</f>
        <v>10</v>
      </c>
      <c r="F18" s="53">
        <f>C18*Accelerators!$C$15</f>
        <v>250</v>
      </c>
      <c r="G18" s="47" t="s">
        <v>204</v>
      </c>
    </row>
    <row r="19">
      <c r="B19" s="13" t="s">
        <v>277</v>
      </c>
      <c r="C19" s="18">
        <v>6.0</v>
      </c>
      <c r="D19" s="19" t="s">
        <v>276</v>
      </c>
      <c r="E19" s="52">
        <f t="shared" si="2"/>
        <v>6</v>
      </c>
      <c r="F19" s="53">
        <f>C19*Accelerators!$C$16</f>
        <v>180</v>
      </c>
      <c r="G19" s="47" t="s">
        <v>206</v>
      </c>
    </row>
    <row r="20">
      <c r="B20" s="13" t="s">
        <v>278</v>
      </c>
      <c r="C20" s="18">
        <v>4.0</v>
      </c>
      <c r="D20" s="19" t="s">
        <v>276</v>
      </c>
      <c r="E20" s="52">
        <f t="shared" si="2"/>
        <v>4</v>
      </c>
      <c r="F20" s="53">
        <f>C20*Accelerators!$C$17</f>
        <v>300</v>
      </c>
      <c r="G20" s="47" t="s">
        <v>208</v>
      </c>
    </row>
    <row r="21" ht="15.75" customHeight="1">
      <c r="B21" s="13" t="s">
        <v>279</v>
      </c>
      <c r="C21" s="18">
        <v>3.0</v>
      </c>
      <c r="D21" s="19" t="s">
        <v>276</v>
      </c>
      <c r="E21" s="52">
        <f t="shared" si="2"/>
        <v>3</v>
      </c>
      <c r="F21" s="53">
        <f>C21*Accelerators!$C$18</f>
        <v>180</v>
      </c>
      <c r="G21" s="47" t="s">
        <v>210</v>
      </c>
    </row>
    <row r="22" ht="15.75" customHeight="1">
      <c r="B22" s="13" t="s">
        <v>280</v>
      </c>
      <c r="C22" s="18">
        <v>1.0</v>
      </c>
      <c r="D22" s="19" t="s">
        <v>276</v>
      </c>
      <c r="E22" s="52">
        <f t="shared" si="2"/>
        <v>1</v>
      </c>
      <c r="F22" s="53">
        <f>C22*Accelerators!$C$19</f>
        <v>250</v>
      </c>
      <c r="G22" s="47" t="s">
        <v>212</v>
      </c>
    </row>
    <row r="23" ht="15.75" customHeight="1">
      <c r="B23" s="13" t="s">
        <v>281</v>
      </c>
      <c r="C23" s="18">
        <v>0.0</v>
      </c>
      <c r="D23" s="19" t="s">
        <v>276</v>
      </c>
      <c r="E23" s="52">
        <f t="shared" si="2"/>
        <v>0</v>
      </c>
      <c r="F23" s="53">
        <f>C23*Accelerators!$C$20</f>
        <v>0</v>
      </c>
      <c r="G23" s="47" t="s">
        <v>214</v>
      </c>
    </row>
    <row r="24" ht="15.75" customHeight="1"/>
    <row r="25" ht="15.75" customHeight="1">
      <c r="B25" s="29" t="s">
        <v>282</v>
      </c>
      <c r="C25" s="36"/>
      <c r="D25" s="36"/>
      <c r="E25" s="36"/>
      <c r="F25" s="36"/>
      <c r="G25" s="36"/>
    </row>
    <row r="26" ht="15.75" customHeight="1">
      <c r="B26" s="6" t="s">
        <v>230</v>
      </c>
      <c r="C26" s="15" t="s">
        <v>283</v>
      </c>
      <c r="D26" s="15" t="s">
        <v>284</v>
      </c>
      <c r="E26" s="15" t="s">
        <v>285</v>
      </c>
      <c r="F26" s="15" t="s">
        <v>286</v>
      </c>
      <c r="G26" s="15" t="s">
        <v>287</v>
      </c>
    </row>
    <row r="27" ht="15.75" customHeight="1">
      <c r="B27" s="13" t="s">
        <v>236</v>
      </c>
      <c r="C27" s="18">
        <v>2.0</v>
      </c>
      <c r="D27" s="50" t="s">
        <v>232</v>
      </c>
      <c r="E27" s="34">
        <f t="array" ref="E27">IFERROR(INDEX(Customization!$C$5:$E$12,MATCH(B27,Customization!$B$5:$B$12,0),MATCH(D27,Customization!$C$4:$E$4,0)),0)</f>
        <v>5000</v>
      </c>
      <c r="F27" s="53">
        <f t="shared" ref="F27:F34" si="3">C27*E27</f>
        <v>10000</v>
      </c>
      <c r="G27" s="53">
        <f t="array" ref="G27">C27*IFERROR(INDEX(Customization!$F$5:$F$12,MATCH(B27,Customization!$B$5:$B$12,0)),0)</f>
        <v>0</v>
      </c>
    </row>
    <row r="28" ht="15.75" customHeight="1">
      <c r="B28" s="13" t="s">
        <v>238</v>
      </c>
      <c r="C28" s="18">
        <v>0.0</v>
      </c>
      <c r="D28" s="50"/>
      <c r="E28" s="34">
        <f t="array" ref="E28">IFERROR(INDEX(Customization!$C$5:$E$12,MATCH(B28,Customization!$B$5:$B$12,0),MATCH(D28,Customization!$C$4:$E$4,0)),0)</f>
        <v>0</v>
      </c>
      <c r="F28" s="53">
        <f t="shared" si="3"/>
        <v>0</v>
      </c>
      <c r="G28" s="53">
        <f t="array" ref="G28">C28*IFERROR(INDEX(Customization!$F$5:$F$12,MATCH(B28,Customization!$B$5:$B$12,0)),0)</f>
        <v>0</v>
      </c>
    </row>
    <row r="29" ht="15.75" customHeight="1">
      <c r="B29" s="13" t="s">
        <v>240</v>
      </c>
      <c r="C29" s="18">
        <v>0.0</v>
      </c>
      <c r="D29" s="50"/>
      <c r="E29" s="34">
        <f t="array" ref="E29">IFERROR(INDEX(Customization!$C$5:$E$12,MATCH(B29,Customization!$B$5:$B$12,0),MATCH(D29,Customization!$C$4:$E$4,0)),0)</f>
        <v>0</v>
      </c>
      <c r="F29" s="53">
        <f t="shared" si="3"/>
        <v>0</v>
      </c>
      <c r="G29" s="53">
        <f t="array" ref="G29">C29*IFERROR(INDEX(Customization!$F$5:$F$12,MATCH(B29,Customization!$B$5:$B$12,0)),0)</f>
        <v>0</v>
      </c>
    </row>
    <row r="30" ht="15.75" customHeight="1">
      <c r="B30" s="13" t="s">
        <v>242</v>
      </c>
      <c r="C30" s="18">
        <v>0.0</v>
      </c>
      <c r="D30" s="50"/>
      <c r="E30" s="34">
        <f t="array" ref="E30">IFERROR(INDEX(Customization!$C$5:$E$12,MATCH(B30,Customization!$B$5:$B$12,0),MATCH(D30,Customization!$C$4:$E$4,0)),0)</f>
        <v>0</v>
      </c>
      <c r="F30" s="53">
        <f t="shared" si="3"/>
        <v>0</v>
      </c>
      <c r="G30" s="53">
        <f t="array" ref="G30">C30*IFERROR(INDEX(Customization!$F$5:$F$12,MATCH(B30,Customization!$B$5:$B$12,0)),0)</f>
        <v>0</v>
      </c>
    </row>
    <row r="31" ht="15.75" customHeight="1">
      <c r="B31" s="13" t="s">
        <v>244</v>
      </c>
      <c r="C31" s="18">
        <v>0.0</v>
      </c>
      <c r="D31" s="50"/>
      <c r="E31" s="34">
        <f t="array" ref="E31">IFERROR(INDEX(Customization!$C$5:$E$12,MATCH(B31,Customization!$B$5:$B$12,0),MATCH(D31,Customization!$C$4:$E$4,0)),0)</f>
        <v>0</v>
      </c>
      <c r="F31" s="53">
        <f t="shared" si="3"/>
        <v>0</v>
      </c>
      <c r="G31" s="53">
        <f t="array" ref="G31">C31*IFERROR(INDEX(Customization!$F$5:$F$12,MATCH(B31,Customization!$B$5:$B$12,0)),0)</f>
        <v>0</v>
      </c>
    </row>
    <row r="32" ht="15.75" customHeight="1">
      <c r="B32" s="13" t="s">
        <v>246</v>
      </c>
      <c r="C32" s="18">
        <v>2.0</v>
      </c>
      <c r="D32" s="50" t="s">
        <v>231</v>
      </c>
      <c r="E32" s="34">
        <f t="array" ref="E32">IFERROR(INDEX(Customization!$C$5:$E$12,MATCH(B32,Customization!$B$5:$B$12,0),MATCH(D32,Customization!$C$4:$E$4,0)),0)</f>
        <v>5000</v>
      </c>
      <c r="F32" s="53">
        <f t="shared" si="3"/>
        <v>10000</v>
      </c>
      <c r="G32" s="53">
        <f t="array" ref="G32">C32*IFERROR(INDEX(Customization!$F$5:$F$12,MATCH(B32,Customization!$B$5:$B$12,0)),0)</f>
        <v>0</v>
      </c>
    </row>
    <row r="33" ht="15.75" customHeight="1">
      <c r="B33" s="13" t="s">
        <v>248</v>
      </c>
      <c r="C33" s="18">
        <v>1.0</v>
      </c>
      <c r="D33" s="50" t="s">
        <v>232</v>
      </c>
      <c r="E33" s="34">
        <f t="array" ref="E33">IFERROR(INDEX(Customization!$C$5:$E$12,MATCH(B33,Customization!$B$5:$B$12,0),MATCH(D33,Customization!$C$4:$E$4,0)),0)</f>
        <v>30000</v>
      </c>
      <c r="F33" s="53">
        <f t="shared" si="3"/>
        <v>30000</v>
      </c>
      <c r="G33" s="53">
        <f t="array" ref="G33">C33*IFERROR(INDEX(Customization!$F$5:$F$12,MATCH(B33,Customization!$B$5:$B$12,0)),0)</f>
        <v>0</v>
      </c>
    </row>
    <row r="34" ht="15.75" customHeight="1">
      <c r="B34" s="13" t="s">
        <v>250</v>
      </c>
      <c r="C34" s="18">
        <v>1.0</v>
      </c>
      <c r="D34" s="50" t="s">
        <v>232</v>
      </c>
      <c r="E34" s="34">
        <f t="array" ref="E34">IFERROR(INDEX(Customization!$C$5:$E$12,MATCH(B34,Customization!$B$5:$B$12,0),MATCH(D34,Customization!$C$4:$E$4,0)),0)</f>
        <v>25000</v>
      </c>
      <c r="F34" s="53">
        <f t="shared" si="3"/>
        <v>25000</v>
      </c>
      <c r="G34" s="53">
        <f t="array" ref="G34">C34*IFERROR(INDEX(Customization!$F$5:$F$12,MATCH(B34,Customization!$B$5:$B$12,0)),0)</f>
        <v>0</v>
      </c>
    </row>
    <row r="35" ht="15.75" customHeight="1">
      <c r="B35" s="6" t="s">
        <v>288</v>
      </c>
      <c r="F35" s="56">
        <f t="shared" ref="F35:G35" si="4">SUM(F27:F34)</f>
        <v>75000</v>
      </c>
      <c r="G35" s="56">
        <f t="shared" si="4"/>
        <v>0</v>
      </c>
    </row>
    <row r="36" ht="15.75" customHeight="1">
      <c r="B36" s="13" t="s">
        <v>289</v>
      </c>
      <c r="F36" s="34">
        <f t="array" ref="F36">INDEX(Accelerators!$D$23:$D$26,MATCH(C6,Accelerators!$B$23:$B$26,0))</f>
        <v>15000</v>
      </c>
      <c r="G36" s="47" t="s">
        <v>290</v>
      </c>
    </row>
    <row r="37" ht="15.75" customHeight="1"/>
    <row r="38" ht="15.75" customHeight="1">
      <c r="B38" s="29" t="s">
        <v>291</v>
      </c>
      <c r="C38" s="36"/>
      <c r="D38" s="36"/>
      <c r="E38" s="36"/>
      <c r="F38" s="36"/>
      <c r="G38" s="36"/>
    </row>
    <row r="39" ht="15.75" customHeight="1">
      <c r="B39" s="13" t="s">
        <v>292</v>
      </c>
      <c r="C39" s="53">
        <f>C11+F15+F16+F17+F18+F19+F20+F21+F22+F23+G35</f>
        <v>4159</v>
      </c>
    </row>
    <row r="40" ht="15.75" customHeight="1">
      <c r="B40" s="13" t="s">
        <v>293</v>
      </c>
      <c r="C40" s="53">
        <f>C39*C9</f>
        <v>5614.65</v>
      </c>
    </row>
    <row r="41" ht="15.75" customHeight="1">
      <c r="B41" s="6" t="s">
        <v>294</v>
      </c>
      <c r="C41" s="56">
        <f>C40*(1-C10)</f>
        <v>4772.4525</v>
      </c>
    </row>
    <row r="42" ht="15.75" customHeight="1">
      <c r="B42" s="16" t="s">
        <v>295</v>
      </c>
      <c r="C42" s="57">
        <f>C41*12</f>
        <v>57269.43</v>
      </c>
    </row>
    <row r="43" ht="15.75" customHeight="1">
      <c r="B43" s="6" t="s">
        <v>296</v>
      </c>
      <c r="C43" s="56">
        <f>F35+F36</f>
        <v>90000</v>
      </c>
    </row>
    <row r="44" ht="15.75" customHeight="1">
      <c r="B44" s="29" t="s">
        <v>297</v>
      </c>
      <c r="C44" s="58">
        <f>C42+C43</f>
        <v>147269.43</v>
      </c>
    </row>
    <row r="45" ht="15.75" customHeight="1">
      <c r="B45" s="6" t="s">
        <v>298</v>
      </c>
      <c r="C45" s="56">
        <f>C42</f>
        <v>57269.43</v>
      </c>
    </row>
    <row r="46" ht="15.75" customHeight="1"/>
    <row r="47" ht="43.5" customHeight="1">
      <c r="B47" s="21" t="s">
        <v>299</v>
      </c>
      <c r="C47" s="22"/>
      <c r="D47" s="22"/>
      <c r="E47" s="22"/>
      <c r="F47" s="22"/>
      <c r="G47" s="23"/>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47:G47"/>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2026-09-17T14:47:49Z</dcterms:created>
  <dc:creator>openpyxl</dc:creator>
</cp:coreProperties>
</file>

<file path=docProps/custom.xml><?xml version="1.0" encoding="utf-8"?>
<Properties xmlns="http://schemas.openxmlformats.org/officeDocument/2006/custom-properties" xmlns:vt="http://schemas.openxmlformats.org/officeDocument/2006/docPropsVTypes"/>
</file>